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e" sheetId="1" state="visible" r:id="rId1"/>
    <sheet name="Pagamentos" sheetId="2" state="visible" r:id="rId2"/>
    <sheet name="Resumo" sheetId="3" state="visible" r:id="rId3"/>
    <sheet name="Observações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/>
  </cellStyles>
  <dxfs count="3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ontroleItens" displayName="ControleItens" ref="A1:J301" headerRowCount="1" totalsRowCount="0" totalsRowShown="0">
  <tableColumns count="10">
    <tableColumn id="1" name="ID"/>
    <tableColumn id="2" name="Reagente"/>
    <tableColumn id="3" name="Data"/>
    <tableColumn id="4" name="Para quem"/>
    <tableColumn id="5" name="Observação"/>
    <tableColumn id="6" name="Preço (R$)"/>
    <tableColumn id="7" name="Total pago (R$)"/>
    <tableColumn id="8" name="Saldo em aberto (R$)"/>
    <tableColumn id="9" name="Status"/>
    <tableColumn id="10" name="Forma de comp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gamentosItens" displayName="PagamentosItens" ref="A1:E1001" headerRowCount="1" totalsRowCount="0" totalsRowShown="0">
  <tableColumns count="5">
    <tableColumn id="1" name="ID Pagamento"/>
    <tableColumn id="2" name="ID do item"/>
    <tableColumn id="3" name="Data do pagamento"/>
    <tableColumn id="4" name="Valor pago (R$)"/>
    <tableColumn id="5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bservacoesItens" displayName="ObservacoesItens" ref="A1:D301" headerRowCount="1" totalsRowCount="0" totalsRowShown="0">
  <tableColumns count="4">
    <tableColumn id="1" name="ID"/>
    <tableColumn id="2" name="Data"/>
    <tableColumn id="3" name="ID do item (opcional)"/>
    <tableColumn id="4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24" customWidth="1" min="4" max="4"/>
    <col width="34" customWidth="1" min="5" max="5"/>
    <col width="14" customWidth="1" min="6" max="6"/>
    <col width="16" customWidth="1" min="7" max="7"/>
    <col width="18" customWidth="1" min="8" max="8"/>
    <col width="13" customWidth="1" min="9" max="9"/>
    <col width="28" customWidth="1" min="10" max="10"/>
  </cols>
  <sheetData>
    <row r="1">
      <c r="A1" s="22" t="inlineStr">
        <is>
          <t>ID</t>
        </is>
      </c>
      <c r="B1" s="22" t="inlineStr">
        <is>
          <t>Reagente</t>
        </is>
      </c>
      <c r="C1" s="22" t="inlineStr">
        <is>
          <t>Data</t>
        </is>
      </c>
      <c r="D1" s="22" t="inlineStr">
        <is>
          <t>Para quem</t>
        </is>
      </c>
      <c r="E1" s="22" t="inlineStr">
        <is>
          <t>Observação</t>
        </is>
      </c>
      <c r="F1" s="22" t="inlineStr">
        <is>
          <t>Preço (R$)</t>
        </is>
      </c>
      <c r="G1" s="22" t="inlineStr">
        <is>
          <t>Total pago (R$)</t>
        </is>
      </c>
      <c r="H1" s="22" t="inlineStr">
        <is>
          <t>Saldo em aberto (R$)</t>
        </is>
      </c>
      <c r="I1" s="22" t="inlineStr">
        <is>
          <t>Status</t>
        </is>
      </c>
      <c r="J1" s="22" t="inlineStr">
        <is>
          <t>Forma de compra</t>
        </is>
      </c>
    </row>
    <row r="2">
      <c r="A2" t="n">
        <v>1</v>
      </c>
      <c r="B2" t="inlineStr">
        <is>
          <t>ph34</t>
        </is>
      </c>
      <c r="C2" s="25" t="n">
        <v>46276</v>
      </c>
      <c r="D2" t="inlineStr">
        <is>
          <t>Biolab</t>
        </is>
      </c>
      <c r="E2" t="inlineStr">
        <is>
          <t>O produto foi selecionado, pois atende às especificações do imetro</t>
        </is>
      </c>
      <c r="F2" s="26" t="n">
        <v>206.45</v>
      </c>
      <c r="G2" s="26">
        <f>IF(B2="","",SUMIF(Pagamentos!$B$2:$B$1001,A2,Pagamentos!$D$2:$D$1001))</f>
        <v/>
      </c>
      <c r="H2" s="26">
        <f>IF(B2="","",MAX(F2-G2,0))</f>
        <v/>
      </c>
      <c r="I2">
        <f>IF(B2="","",IF(H2&lt;=0,"PAGO",IF(G2&gt;0,"PARCIAL","PENDENTE")))</f>
        <v/>
      </c>
      <c r="J2" t="inlineStr">
        <is>
          <t>À vista</t>
        </is>
      </c>
    </row>
    <row r="3">
      <c r="A3" t="n">
        <v>2</v>
      </c>
      <c r="B3" t="inlineStr">
        <is>
          <t>cloreto de potássio</t>
        </is>
      </c>
      <c r="C3" s="25" t="n">
        <v>46270</v>
      </c>
      <c r="D3" t="inlineStr">
        <is>
          <t>JetLab</t>
        </is>
      </c>
      <c r="E3" t="inlineStr">
        <is>
          <t>O produto é o único com as especificações técnicas necessárias.</t>
        </is>
      </c>
      <c r="F3" s="26" t="n">
        <v>134.67</v>
      </c>
      <c r="G3" s="26">
        <f>IF(B3="","",SUMIF(Pagamentos!$B$2:$B$1001,A3,Pagamentos!$D$2:$D$1001))</f>
        <v/>
      </c>
      <c r="H3" s="26">
        <f>IF(B3="","",MAX(F3-G3,0))</f>
        <v/>
      </c>
      <c r="I3">
        <f>IF(B3="","",IF(H3&lt;=0,"PAGO",IF(G3&gt;0,"PARCIAL","PENDENTE")))</f>
        <v/>
      </c>
      <c r="J3" t="inlineStr">
        <is>
          <t>FAPEMIG - reembolso integral</t>
        </is>
      </c>
    </row>
    <row r="4">
      <c r="A4" t="n">
        <v>3</v>
      </c>
      <c r="C4" s="25" t="n"/>
      <c r="F4" s="26" t="n"/>
      <c r="G4" s="26">
        <f>IF(B4="","",SUMIF(Pagamentos!$B$2:$B$1001,A4,Pagamentos!$D$2:$D$1001))</f>
        <v/>
      </c>
      <c r="H4" s="26">
        <f>IF(B4="","",MAX(F4-G4,0))</f>
        <v/>
      </c>
      <c r="I4">
        <f>IF(B4="","",IF(H4&lt;=0,"PAGO",IF(G4&gt;0,"PARCIAL","PENDENTE")))</f>
        <v/>
      </c>
    </row>
    <row r="5">
      <c r="A5" t="n">
        <v>4</v>
      </c>
      <c r="C5" s="25" t="n"/>
      <c r="F5" s="26" t="n"/>
      <c r="G5" s="26">
        <f>IF(B5="","",SUMIF(Pagamentos!$B$2:$B$1001,A5,Pagamentos!$D$2:$D$1001))</f>
        <v/>
      </c>
      <c r="H5" s="26">
        <f>IF(B5="","",MAX(F5-G5,0))</f>
        <v/>
      </c>
      <c r="I5">
        <f>IF(B5="","",IF(H5&lt;=0,"PAGO",IF(G5&gt;0,"PARCIAL","PENDENTE")))</f>
        <v/>
      </c>
    </row>
    <row r="6">
      <c r="A6" t="n">
        <v>5</v>
      </c>
      <c r="C6" s="25" t="n"/>
      <c r="F6" s="26" t="n"/>
      <c r="G6" s="26">
        <f>IF(B6="","",SUMIF(Pagamentos!$B$2:$B$1001,A6,Pagamentos!$D$2:$D$1001))</f>
        <v/>
      </c>
      <c r="H6" s="26">
        <f>IF(B6="","",MAX(F6-G6,0))</f>
        <v/>
      </c>
      <c r="I6">
        <f>IF(B6="","",IF(H6&lt;=0,"PAGO",IF(G6&gt;0,"PARCIAL","PENDENTE")))</f>
        <v/>
      </c>
    </row>
    <row r="7">
      <c r="A7" t="n">
        <v>6</v>
      </c>
      <c r="C7" s="25" t="n"/>
      <c r="F7" s="26" t="n"/>
      <c r="G7" s="26">
        <f>IF(B7="","",SUMIF(Pagamentos!$B$2:$B$1001,A7,Pagamentos!$D$2:$D$1001))</f>
        <v/>
      </c>
      <c r="H7" s="26">
        <f>IF(B7="","",MAX(F7-G7,0))</f>
        <v/>
      </c>
      <c r="I7">
        <f>IF(B7="","",IF(H7&lt;=0,"PAGO",IF(G7&gt;0,"PARCIAL","PENDENTE")))</f>
        <v/>
      </c>
    </row>
    <row r="8">
      <c r="A8" t="n">
        <v>7</v>
      </c>
      <c r="C8" s="25" t="n"/>
      <c r="F8" s="26" t="n"/>
      <c r="G8" s="26">
        <f>IF(B8="","",SUMIF(Pagamentos!$B$2:$B$1001,A8,Pagamentos!$D$2:$D$1001))</f>
        <v/>
      </c>
      <c r="H8" s="26">
        <f>IF(B8="","",MAX(F8-G8,0))</f>
        <v/>
      </c>
      <c r="I8">
        <f>IF(B8="","",IF(H8&lt;=0,"PAGO",IF(G8&gt;0,"PARCIAL","PENDENTE")))</f>
        <v/>
      </c>
    </row>
    <row r="9">
      <c r="A9" t="n">
        <v>8</v>
      </c>
      <c r="C9" s="25" t="n"/>
      <c r="F9" s="26" t="n"/>
      <c r="G9" s="26">
        <f>IF(B9="","",SUMIF(Pagamentos!$B$2:$B$1001,A9,Pagamentos!$D$2:$D$1001))</f>
        <v/>
      </c>
      <c r="H9" s="26">
        <f>IF(B9="","",MAX(F9-G9,0))</f>
        <v/>
      </c>
      <c r="I9">
        <f>IF(B9="","",IF(H9&lt;=0,"PAGO",IF(G9&gt;0,"PARCIAL","PENDENTE")))</f>
        <v/>
      </c>
    </row>
    <row r="10">
      <c r="A10" t="n">
        <v>9</v>
      </c>
      <c r="C10" s="25" t="n"/>
      <c r="F10" s="26" t="n"/>
      <c r="G10" s="26">
        <f>IF(B10="","",SUMIF(Pagamentos!$B$2:$B$1001,A10,Pagamentos!$D$2:$D$1001))</f>
        <v/>
      </c>
      <c r="H10" s="26">
        <f>IF(B10="","",MAX(F10-G10,0))</f>
        <v/>
      </c>
      <c r="I10">
        <f>IF(B10="","",IF(H10&lt;=0,"PAGO",IF(G10&gt;0,"PARCIAL","PENDENTE")))</f>
        <v/>
      </c>
    </row>
    <row r="11">
      <c r="A11" t="n">
        <v>10</v>
      </c>
      <c r="C11" s="25" t="n"/>
      <c r="F11" s="26" t="n"/>
      <c r="G11" s="26">
        <f>IF(B11="","",SUMIF(Pagamentos!$B$2:$B$1001,A11,Pagamentos!$D$2:$D$1001))</f>
        <v/>
      </c>
      <c r="H11" s="26">
        <f>IF(B11="","",MAX(F11-G11,0))</f>
        <v/>
      </c>
      <c r="I11">
        <f>IF(B11="","",IF(H11&lt;=0,"PAGO",IF(G11&gt;0,"PARCIAL","PENDENTE")))</f>
        <v/>
      </c>
    </row>
    <row r="12">
      <c r="A12" t="n">
        <v>11</v>
      </c>
      <c r="C12" s="25" t="n"/>
      <c r="F12" s="26" t="n"/>
      <c r="G12" s="26">
        <f>IF(B12="","",SUMIF(Pagamentos!$B$2:$B$1001,A12,Pagamentos!$D$2:$D$1001))</f>
        <v/>
      </c>
      <c r="H12" s="26">
        <f>IF(B12="","",MAX(F12-G12,0))</f>
        <v/>
      </c>
      <c r="I12">
        <f>IF(B12="","",IF(H12&lt;=0,"PAGO",IF(G12&gt;0,"PARCIAL","PENDENTE")))</f>
        <v/>
      </c>
    </row>
    <row r="13">
      <c r="A13" t="n">
        <v>12</v>
      </c>
      <c r="C13" s="25" t="n"/>
      <c r="F13" s="26" t="n"/>
      <c r="G13" s="26">
        <f>IF(B13="","",SUMIF(Pagamentos!$B$2:$B$1001,A13,Pagamentos!$D$2:$D$1001))</f>
        <v/>
      </c>
      <c r="H13" s="26">
        <f>IF(B13="","",MAX(F13-G13,0))</f>
        <v/>
      </c>
      <c r="I13">
        <f>IF(B13="","",IF(H13&lt;=0,"PAGO",IF(G13&gt;0,"PARCIAL","PENDENTE")))</f>
        <v/>
      </c>
    </row>
    <row r="14">
      <c r="A14" t="n">
        <v>13</v>
      </c>
      <c r="C14" s="25" t="n"/>
      <c r="F14" s="26" t="n"/>
      <c r="G14" s="26">
        <f>IF(B14="","",SUMIF(Pagamentos!$B$2:$B$1001,A14,Pagamentos!$D$2:$D$1001))</f>
        <v/>
      </c>
      <c r="H14" s="26">
        <f>IF(B14="","",MAX(F14-G14,0))</f>
        <v/>
      </c>
      <c r="I14">
        <f>IF(B14="","",IF(H14&lt;=0,"PAGO",IF(G14&gt;0,"PARCIAL","PENDENTE")))</f>
        <v/>
      </c>
    </row>
    <row r="15">
      <c r="A15" t="n">
        <v>14</v>
      </c>
      <c r="C15" s="25" t="n"/>
      <c r="F15" s="26" t="n"/>
      <c r="G15" s="26">
        <f>IF(B15="","",SUMIF(Pagamentos!$B$2:$B$1001,A15,Pagamentos!$D$2:$D$1001))</f>
        <v/>
      </c>
      <c r="H15" s="26">
        <f>IF(B15="","",MAX(F15-G15,0))</f>
        <v/>
      </c>
      <c r="I15">
        <f>IF(B15="","",IF(H15&lt;=0,"PAGO",IF(G15&gt;0,"PARCIAL","PENDENTE")))</f>
        <v/>
      </c>
    </row>
    <row r="16">
      <c r="A16" t="n">
        <v>15</v>
      </c>
      <c r="C16" s="25" t="n"/>
      <c r="F16" s="26" t="n"/>
      <c r="G16" s="26">
        <f>IF(B16="","",SUMIF(Pagamentos!$B$2:$B$1001,A16,Pagamentos!$D$2:$D$1001))</f>
        <v/>
      </c>
      <c r="H16" s="26">
        <f>IF(B16="","",MAX(F16-G16,0))</f>
        <v/>
      </c>
      <c r="I16">
        <f>IF(B16="","",IF(H16&lt;=0,"PAGO",IF(G16&gt;0,"PARCIAL","PENDENTE")))</f>
        <v/>
      </c>
    </row>
    <row r="17">
      <c r="A17" t="n">
        <v>16</v>
      </c>
      <c r="C17" s="25" t="n"/>
      <c r="F17" s="26" t="n"/>
      <c r="G17" s="26">
        <f>IF(B17="","",SUMIF(Pagamentos!$B$2:$B$1001,A17,Pagamentos!$D$2:$D$1001))</f>
        <v/>
      </c>
      <c r="H17" s="26">
        <f>IF(B17="","",MAX(F17-G17,0))</f>
        <v/>
      </c>
      <c r="I17">
        <f>IF(B17="","",IF(H17&lt;=0,"PAGO",IF(G17&gt;0,"PARCIAL","PENDENTE")))</f>
        <v/>
      </c>
    </row>
    <row r="18">
      <c r="A18" t="n">
        <v>17</v>
      </c>
      <c r="C18" s="25" t="n"/>
      <c r="F18" s="26" t="n"/>
      <c r="G18" s="26">
        <f>IF(B18="","",SUMIF(Pagamentos!$B$2:$B$1001,A18,Pagamentos!$D$2:$D$1001))</f>
        <v/>
      </c>
      <c r="H18" s="26">
        <f>IF(B18="","",MAX(F18-G18,0))</f>
        <v/>
      </c>
      <c r="I18">
        <f>IF(B18="","",IF(H18&lt;=0,"PAGO",IF(G18&gt;0,"PARCIAL","PENDENTE")))</f>
        <v/>
      </c>
    </row>
    <row r="19">
      <c r="A19" t="n">
        <v>18</v>
      </c>
      <c r="C19" s="25" t="n"/>
      <c r="F19" s="26" t="n"/>
      <c r="G19" s="26">
        <f>IF(B19="","",SUMIF(Pagamentos!$B$2:$B$1001,A19,Pagamentos!$D$2:$D$1001))</f>
        <v/>
      </c>
      <c r="H19" s="26">
        <f>IF(B19="","",MAX(F19-G19,0))</f>
        <v/>
      </c>
      <c r="I19">
        <f>IF(B19="","",IF(H19&lt;=0,"PAGO",IF(G19&gt;0,"PARCIAL","PENDENTE")))</f>
        <v/>
      </c>
    </row>
    <row r="20">
      <c r="A20" t="n">
        <v>19</v>
      </c>
      <c r="C20" s="25" t="n"/>
      <c r="F20" s="26" t="n"/>
      <c r="G20" s="26">
        <f>IF(B20="","",SUMIF(Pagamentos!$B$2:$B$1001,A20,Pagamentos!$D$2:$D$1001))</f>
        <v/>
      </c>
      <c r="H20" s="26">
        <f>IF(B20="","",MAX(F20-G20,0))</f>
        <v/>
      </c>
      <c r="I20">
        <f>IF(B20="","",IF(H20&lt;=0,"PAGO",IF(G20&gt;0,"PARCIAL","PENDENTE")))</f>
        <v/>
      </c>
    </row>
    <row r="21">
      <c r="A21" t="n">
        <v>20</v>
      </c>
      <c r="C21" s="25" t="n"/>
      <c r="F21" s="26" t="n"/>
      <c r="G21" s="26">
        <f>IF(B21="","",SUMIF(Pagamentos!$B$2:$B$1001,A21,Pagamentos!$D$2:$D$1001))</f>
        <v/>
      </c>
      <c r="H21" s="26">
        <f>IF(B21="","",MAX(F21-G21,0))</f>
        <v/>
      </c>
      <c r="I21">
        <f>IF(B21="","",IF(H21&lt;=0,"PAGO",IF(G21&gt;0,"PARCIAL","PENDENTE")))</f>
        <v/>
      </c>
    </row>
    <row r="22">
      <c r="A22" t="n">
        <v>21</v>
      </c>
      <c r="C22" s="25" t="n"/>
      <c r="F22" s="26" t="n"/>
      <c r="G22" s="26">
        <f>IF(B22="","",SUMIF(Pagamentos!$B$2:$B$1001,A22,Pagamentos!$D$2:$D$1001))</f>
        <v/>
      </c>
      <c r="H22" s="26">
        <f>IF(B22="","",MAX(F22-G22,0))</f>
        <v/>
      </c>
      <c r="I22">
        <f>IF(B22="","",IF(H22&lt;=0,"PAGO",IF(G22&gt;0,"PARCIAL","PENDENTE")))</f>
        <v/>
      </c>
    </row>
    <row r="23">
      <c r="A23" t="n">
        <v>22</v>
      </c>
      <c r="C23" s="25" t="n"/>
      <c r="F23" s="26" t="n"/>
      <c r="G23" s="26">
        <f>IF(B23="","",SUMIF(Pagamentos!$B$2:$B$1001,A23,Pagamentos!$D$2:$D$1001))</f>
        <v/>
      </c>
      <c r="H23" s="26">
        <f>IF(B23="","",MAX(F23-G23,0))</f>
        <v/>
      </c>
      <c r="I23">
        <f>IF(B23="","",IF(H23&lt;=0,"PAGO",IF(G23&gt;0,"PARCIAL","PENDENTE")))</f>
        <v/>
      </c>
    </row>
    <row r="24">
      <c r="A24" t="n">
        <v>23</v>
      </c>
      <c r="C24" s="25" t="n"/>
      <c r="F24" s="26" t="n"/>
      <c r="G24" s="26">
        <f>IF(B24="","",SUMIF(Pagamentos!$B$2:$B$1001,A24,Pagamentos!$D$2:$D$1001))</f>
        <v/>
      </c>
      <c r="H24" s="26">
        <f>IF(B24="","",MAX(F24-G24,0))</f>
        <v/>
      </c>
      <c r="I24">
        <f>IF(B24="","",IF(H24&lt;=0,"PAGO",IF(G24&gt;0,"PARCIAL","PENDENTE")))</f>
        <v/>
      </c>
    </row>
    <row r="25">
      <c r="A25" t="n">
        <v>24</v>
      </c>
      <c r="C25" s="25" t="n"/>
      <c r="F25" s="26" t="n"/>
      <c r="G25" s="26">
        <f>IF(B25="","",SUMIF(Pagamentos!$B$2:$B$1001,A25,Pagamentos!$D$2:$D$1001))</f>
        <v/>
      </c>
      <c r="H25" s="26">
        <f>IF(B25="","",MAX(F25-G25,0))</f>
        <v/>
      </c>
      <c r="I25">
        <f>IF(B25="","",IF(H25&lt;=0,"PAGO",IF(G25&gt;0,"PARCIAL","PENDENTE")))</f>
        <v/>
      </c>
    </row>
    <row r="26">
      <c r="A26" t="n">
        <v>25</v>
      </c>
      <c r="C26" s="25" t="n"/>
      <c r="F26" s="26" t="n"/>
      <c r="G26" s="26">
        <f>IF(B26="","",SUMIF(Pagamentos!$B$2:$B$1001,A26,Pagamentos!$D$2:$D$1001))</f>
        <v/>
      </c>
      <c r="H26" s="26">
        <f>IF(B26="","",MAX(F26-G26,0))</f>
        <v/>
      </c>
      <c r="I26">
        <f>IF(B26="","",IF(H26&lt;=0,"PAGO",IF(G26&gt;0,"PARCIAL","PENDENTE")))</f>
        <v/>
      </c>
    </row>
    <row r="27">
      <c r="A27" t="n">
        <v>26</v>
      </c>
      <c r="C27" s="25" t="n"/>
      <c r="F27" s="26" t="n"/>
      <c r="G27" s="26">
        <f>IF(B27="","",SUMIF(Pagamentos!$B$2:$B$1001,A27,Pagamentos!$D$2:$D$1001))</f>
        <v/>
      </c>
      <c r="H27" s="26">
        <f>IF(B27="","",MAX(F27-G27,0))</f>
        <v/>
      </c>
      <c r="I27">
        <f>IF(B27="","",IF(H27&lt;=0,"PAGO",IF(G27&gt;0,"PARCIAL","PENDENTE")))</f>
        <v/>
      </c>
    </row>
    <row r="28">
      <c r="A28" t="n">
        <v>27</v>
      </c>
      <c r="C28" s="25" t="n"/>
      <c r="F28" s="26" t="n"/>
      <c r="G28" s="26">
        <f>IF(B28="","",SUMIF(Pagamentos!$B$2:$B$1001,A28,Pagamentos!$D$2:$D$1001))</f>
        <v/>
      </c>
      <c r="H28" s="26">
        <f>IF(B28="","",MAX(F28-G28,0))</f>
        <v/>
      </c>
      <c r="I28">
        <f>IF(B28="","",IF(H28&lt;=0,"PAGO",IF(G28&gt;0,"PARCIAL","PENDENTE")))</f>
        <v/>
      </c>
    </row>
    <row r="29">
      <c r="A29" t="n">
        <v>28</v>
      </c>
      <c r="C29" s="25" t="n"/>
      <c r="F29" s="26" t="n"/>
      <c r="G29" s="26">
        <f>IF(B29="","",SUMIF(Pagamentos!$B$2:$B$1001,A29,Pagamentos!$D$2:$D$1001))</f>
        <v/>
      </c>
      <c r="H29" s="26">
        <f>IF(B29="","",MAX(F29-G29,0))</f>
        <v/>
      </c>
      <c r="I29">
        <f>IF(B29="","",IF(H29&lt;=0,"PAGO",IF(G29&gt;0,"PARCIAL","PENDENTE")))</f>
        <v/>
      </c>
    </row>
    <row r="30">
      <c r="A30" t="n">
        <v>29</v>
      </c>
      <c r="C30" s="25" t="n"/>
      <c r="F30" s="26" t="n"/>
      <c r="G30" s="26">
        <f>IF(B30="","",SUMIF(Pagamentos!$B$2:$B$1001,A30,Pagamentos!$D$2:$D$1001))</f>
        <v/>
      </c>
      <c r="H30" s="26">
        <f>IF(B30="","",MAX(F30-G30,0))</f>
        <v/>
      </c>
      <c r="I30">
        <f>IF(B30="","",IF(H30&lt;=0,"PAGO",IF(G30&gt;0,"PARCIAL","PENDENTE")))</f>
        <v/>
      </c>
    </row>
    <row r="31">
      <c r="A31" t="n">
        <v>30</v>
      </c>
      <c r="C31" s="25" t="n"/>
      <c r="F31" s="26" t="n"/>
      <c r="G31" s="26">
        <f>IF(B31="","",SUMIF(Pagamentos!$B$2:$B$1001,A31,Pagamentos!$D$2:$D$1001))</f>
        <v/>
      </c>
      <c r="H31" s="26">
        <f>IF(B31="","",MAX(F31-G31,0))</f>
        <v/>
      </c>
      <c r="I31">
        <f>IF(B31="","",IF(H31&lt;=0,"PAGO",IF(G31&gt;0,"PARCIAL","PENDENTE")))</f>
        <v/>
      </c>
    </row>
    <row r="32">
      <c r="A32" t="n">
        <v>31</v>
      </c>
      <c r="C32" s="25" t="n"/>
      <c r="F32" s="26" t="n"/>
      <c r="G32" s="26">
        <f>IF(B32="","",SUMIF(Pagamentos!$B$2:$B$1001,A32,Pagamentos!$D$2:$D$1001))</f>
        <v/>
      </c>
      <c r="H32" s="26">
        <f>IF(B32="","",MAX(F32-G32,0))</f>
        <v/>
      </c>
      <c r="I32">
        <f>IF(B32="","",IF(H32&lt;=0,"PAGO",IF(G32&gt;0,"PARCIAL","PENDENTE")))</f>
        <v/>
      </c>
    </row>
    <row r="33">
      <c r="A33" t="n">
        <v>32</v>
      </c>
      <c r="C33" s="25" t="n"/>
      <c r="F33" s="26" t="n"/>
      <c r="G33" s="26">
        <f>IF(B33="","",SUMIF(Pagamentos!$B$2:$B$1001,A33,Pagamentos!$D$2:$D$1001))</f>
        <v/>
      </c>
      <c r="H33" s="26">
        <f>IF(B33="","",MAX(F33-G33,0))</f>
        <v/>
      </c>
      <c r="I33">
        <f>IF(B33="","",IF(H33&lt;=0,"PAGO",IF(G33&gt;0,"PARCIAL","PENDENTE")))</f>
        <v/>
      </c>
    </row>
    <row r="34">
      <c r="A34" t="n">
        <v>33</v>
      </c>
      <c r="C34" s="25" t="n"/>
      <c r="F34" s="26" t="n"/>
      <c r="G34" s="26">
        <f>IF(B34="","",SUMIF(Pagamentos!$B$2:$B$1001,A34,Pagamentos!$D$2:$D$1001))</f>
        <v/>
      </c>
      <c r="H34" s="26">
        <f>IF(B34="","",MAX(F34-G34,0))</f>
        <v/>
      </c>
      <c r="I34">
        <f>IF(B34="","",IF(H34&lt;=0,"PAGO",IF(G34&gt;0,"PARCIAL","PENDENTE")))</f>
        <v/>
      </c>
    </row>
    <row r="35">
      <c r="A35" t="n">
        <v>34</v>
      </c>
      <c r="C35" s="25" t="n"/>
      <c r="F35" s="26" t="n"/>
      <c r="G35" s="26">
        <f>IF(B35="","",SUMIF(Pagamentos!$B$2:$B$1001,A35,Pagamentos!$D$2:$D$1001))</f>
        <v/>
      </c>
      <c r="H35" s="26">
        <f>IF(B35="","",MAX(F35-G35,0))</f>
        <v/>
      </c>
      <c r="I35">
        <f>IF(B35="","",IF(H35&lt;=0,"PAGO",IF(G35&gt;0,"PARCIAL","PENDENTE")))</f>
        <v/>
      </c>
    </row>
    <row r="36">
      <c r="A36" t="n">
        <v>35</v>
      </c>
      <c r="C36" s="25" t="n"/>
      <c r="F36" s="26" t="n"/>
      <c r="G36" s="26">
        <f>IF(B36="","",SUMIF(Pagamentos!$B$2:$B$1001,A36,Pagamentos!$D$2:$D$1001))</f>
        <v/>
      </c>
      <c r="H36" s="26">
        <f>IF(B36="","",MAX(F36-G36,0))</f>
        <v/>
      </c>
      <c r="I36">
        <f>IF(B36="","",IF(H36&lt;=0,"PAGO",IF(G36&gt;0,"PARCIAL","PENDENTE")))</f>
        <v/>
      </c>
    </row>
    <row r="37">
      <c r="A37" t="n">
        <v>36</v>
      </c>
      <c r="C37" s="25" t="n"/>
      <c r="F37" s="26" t="n"/>
      <c r="G37" s="26">
        <f>IF(B37="","",SUMIF(Pagamentos!$B$2:$B$1001,A37,Pagamentos!$D$2:$D$1001))</f>
        <v/>
      </c>
      <c r="H37" s="26">
        <f>IF(B37="","",MAX(F37-G37,0))</f>
        <v/>
      </c>
      <c r="I37">
        <f>IF(B37="","",IF(H37&lt;=0,"PAGO",IF(G37&gt;0,"PARCIAL","PENDENTE")))</f>
        <v/>
      </c>
    </row>
    <row r="38">
      <c r="A38" t="n">
        <v>37</v>
      </c>
      <c r="C38" s="25" t="n"/>
      <c r="F38" s="26" t="n"/>
      <c r="G38" s="26">
        <f>IF(B38="","",SUMIF(Pagamentos!$B$2:$B$1001,A38,Pagamentos!$D$2:$D$1001))</f>
        <v/>
      </c>
      <c r="H38" s="26">
        <f>IF(B38="","",MAX(F38-G38,0))</f>
        <v/>
      </c>
      <c r="I38">
        <f>IF(B38="","",IF(H38&lt;=0,"PAGO",IF(G38&gt;0,"PARCIAL","PENDENTE")))</f>
        <v/>
      </c>
    </row>
    <row r="39">
      <c r="A39" t="n">
        <v>38</v>
      </c>
      <c r="C39" s="25" t="n"/>
      <c r="F39" s="26" t="n"/>
      <c r="G39" s="26">
        <f>IF(B39="","",SUMIF(Pagamentos!$B$2:$B$1001,A39,Pagamentos!$D$2:$D$1001))</f>
        <v/>
      </c>
      <c r="H39" s="26">
        <f>IF(B39="","",MAX(F39-G39,0))</f>
        <v/>
      </c>
      <c r="I39">
        <f>IF(B39="","",IF(H39&lt;=0,"PAGO",IF(G39&gt;0,"PARCIAL","PENDENTE")))</f>
        <v/>
      </c>
    </row>
    <row r="40">
      <c r="A40" t="n">
        <v>39</v>
      </c>
      <c r="C40" s="25" t="n"/>
      <c r="F40" s="26" t="n"/>
      <c r="G40" s="26">
        <f>IF(B40="","",SUMIF(Pagamentos!$B$2:$B$1001,A40,Pagamentos!$D$2:$D$1001))</f>
        <v/>
      </c>
      <c r="H40" s="26">
        <f>IF(B40="","",MAX(F40-G40,0))</f>
        <v/>
      </c>
      <c r="I40">
        <f>IF(B40="","",IF(H40&lt;=0,"PAGO",IF(G40&gt;0,"PARCIAL","PENDENTE")))</f>
        <v/>
      </c>
    </row>
    <row r="41">
      <c r="A41" t="n">
        <v>40</v>
      </c>
      <c r="C41" s="25" t="n"/>
      <c r="F41" s="26" t="n"/>
      <c r="G41" s="26">
        <f>IF(B41="","",SUMIF(Pagamentos!$B$2:$B$1001,A41,Pagamentos!$D$2:$D$1001))</f>
        <v/>
      </c>
      <c r="H41" s="26">
        <f>IF(B41="","",MAX(F41-G41,0))</f>
        <v/>
      </c>
      <c r="I41">
        <f>IF(B41="","",IF(H41&lt;=0,"PAGO",IF(G41&gt;0,"PARCIAL","PENDENTE")))</f>
        <v/>
      </c>
    </row>
    <row r="42">
      <c r="A42" t="n">
        <v>41</v>
      </c>
      <c r="C42" s="25" t="n"/>
      <c r="F42" s="26" t="n"/>
      <c r="G42" s="26">
        <f>IF(B42="","",SUMIF(Pagamentos!$B$2:$B$1001,A42,Pagamentos!$D$2:$D$1001))</f>
        <v/>
      </c>
      <c r="H42" s="26">
        <f>IF(B42="","",MAX(F42-G42,0))</f>
        <v/>
      </c>
      <c r="I42">
        <f>IF(B42="","",IF(H42&lt;=0,"PAGO",IF(G42&gt;0,"PARCIAL","PENDENTE")))</f>
        <v/>
      </c>
    </row>
    <row r="43">
      <c r="A43" t="n">
        <v>42</v>
      </c>
      <c r="C43" s="25" t="n"/>
      <c r="F43" s="26" t="n"/>
      <c r="G43" s="26">
        <f>IF(B43="","",SUMIF(Pagamentos!$B$2:$B$1001,A43,Pagamentos!$D$2:$D$1001))</f>
        <v/>
      </c>
      <c r="H43" s="26">
        <f>IF(B43="","",MAX(F43-G43,0))</f>
        <v/>
      </c>
      <c r="I43">
        <f>IF(B43="","",IF(H43&lt;=0,"PAGO",IF(G43&gt;0,"PARCIAL","PENDENTE")))</f>
        <v/>
      </c>
    </row>
    <row r="44">
      <c r="A44" t="n">
        <v>43</v>
      </c>
      <c r="C44" s="25" t="n"/>
      <c r="F44" s="26" t="n"/>
      <c r="G44" s="26">
        <f>IF(B44="","",SUMIF(Pagamentos!$B$2:$B$1001,A44,Pagamentos!$D$2:$D$1001))</f>
        <v/>
      </c>
      <c r="H44" s="26">
        <f>IF(B44="","",MAX(F44-G44,0))</f>
        <v/>
      </c>
      <c r="I44">
        <f>IF(B44="","",IF(H44&lt;=0,"PAGO",IF(G44&gt;0,"PARCIAL","PENDENTE")))</f>
        <v/>
      </c>
    </row>
    <row r="45">
      <c r="A45" t="n">
        <v>44</v>
      </c>
      <c r="C45" s="25" t="n"/>
      <c r="F45" s="26" t="n"/>
      <c r="G45" s="26">
        <f>IF(B45="","",SUMIF(Pagamentos!$B$2:$B$1001,A45,Pagamentos!$D$2:$D$1001))</f>
        <v/>
      </c>
      <c r="H45" s="26">
        <f>IF(B45="","",MAX(F45-G45,0))</f>
        <v/>
      </c>
      <c r="I45">
        <f>IF(B45="","",IF(H45&lt;=0,"PAGO",IF(G45&gt;0,"PARCIAL","PENDENTE")))</f>
        <v/>
      </c>
    </row>
    <row r="46">
      <c r="A46" t="n">
        <v>45</v>
      </c>
      <c r="C46" s="25" t="n"/>
      <c r="F46" s="26" t="n"/>
      <c r="G46" s="26">
        <f>IF(B46="","",SUMIF(Pagamentos!$B$2:$B$1001,A46,Pagamentos!$D$2:$D$1001))</f>
        <v/>
      </c>
      <c r="H46" s="26">
        <f>IF(B46="","",MAX(F46-G46,0))</f>
        <v/>
      </c>
      <c r="I46">
        <f>IF(B46="","",IF(H46&lt;=0,"PAGO",IF(G46&gt;0,"PARCIAL","PENDENTE")))</f>
        <v/>
      </c>
    </row>
    <row r="47">
      <c r="A47" t="n">
        <v>46</v>
      </c>
      <c r="C47" s="25" t="n"/>
      <c r="F47" s="26" t="n"/>
      <c r="G47" s="26">
        <f>IF(B47="","",SUMIF(Pagamentos!$B$2:$B$1001,A47,Pagamentos!$D$2:$D$1001))</f>
        <v/>
      </c>
      <c r="H47" s="26">
        <f>IF(B47="","",MAX(F47-G47,0))</f>
        <v/>
      </c>
      <c r="I47">
        <f>IF(B47="","",IF(H47&lt;=0,"PAGO",IF(G47&gt;0,"PARCIAL","PENDENTE")))</f>
        <v/>
      </c>
    </row>
    <row r="48">
      <c r="A48" t="n">
        <v>47</v>
      </c>
      <c r="C48" s="25" t="n"/>
      <c r="F48" s="26" t="n"/>
      <c r="G48" s="26">
        <f>IF(B48="","",SUMIF(Pagamentos!$B$2:$B$1001,A48,Pagamentos!$D$2:$D$1001))</f>
        <v/>
      </c>
      <c r="H48" s="26">
        <f>IF(B48="","",MAX(F48-G48,0))</f>
        <v/>
      </c>
      <c r="I48">
        <f>IF(B48="","",IF(H48&lt;=0,"PAGO",IF(G48&gt;0,"PARCIAL","PENDENTE")))</f>
        <v/>
      </c>
    </row>
    <row r="49">
      <c r="A49" t="n">
        <v>48</v>
      </c>
      <c r="C49" s="25" t="n"/>
      <c r="F49" s="26" t="n"/>
      <c r="G49" s="26">
        <f>IF(B49="","",SUMIF(Pagamentos!$B$2:$B$1001,A49,Pagamentos!$D$2:$D$1001))</f>
        <v/>
      </c>
      <c r="H49" s="26">
        <f>IF(B49="","",MAX(F49-G49,0))</f>
        <v/>
      </c>
      <c r="I49">
        <f>IF(B49="","",IF(H49&lt;=0,"PAGO",IF(G49&gt;0,"PARCIAL","PENDENTE")))</f>
        <v/>
      </c>
    </row>
    <row r="50">
      <c r="A50" t="n">
        <v>49</v>
      </c>
      <c r="C50" s="25" t="n"/>
      <c r="F50" s="26" t="n"/>
      <c r="G50" s="26">
        <f>IF(B50="","",SUMIF(Pagamentos!$B$2:$B$1001,A50,Pagamentos!$D$2:$D$1001))</f>
        <v/>
      </c>
      <c r="H50" s="26">
        <f>IF(B50="","",MAX(F50-G50,0))</f>
        <v/>
      </c>
      <c r="I50">
        <f>IF(B50="","",IF(H50&lt;=0,"PAGO",IF(G50&gt;0,"PARCIAL","PENDENTE")))</f>
        <v/>
      </c>
    </row>
    <row r="51">
      <c r="A51" t="n">
        <v>50</v>
      </c>
      <c r="C51" s="25" t="n"/>
      <c r="F51" s="26" t="n"/>
      <c r="G51" s="26">
        <f>IF(B51="","",SUMIF(Pagamentos!$B$2:$B$1001,A51,Pagamentos!$D$2:$D$1001))</f>
        <v/>
      </c>
      <c r="H51" s="26">
        <f>IF(B51="","",MAX(F51-G51,0))</f>
        <v/>
      </c>
      <c r="I51">
        <f>IF(B51="","",IF(H51&lt;=0,"PAGO",IF(G51&gt;0,"PARCIAL","PENDENTE")))</f>
        <v/>
      </c>
    </row>
    <row r="52">
      <c r="A52" t="n">
        <v>51</v>
      </c>
      <c r="C52" s="25" t="n"/>
      <c r="F52" s="26" t="n"/>
      <c r="G52" s="26">
        <f>IF(B52="","",SUMIF(Pagamentos!$B$2:$B$1001,A52,Pagamentos!$D$2:$D$1001))</f>
        <v/>
      </c>
      <c r="H52" s="26">
        <f>IF(B52="","",MAX(F52-G52,0))</f>
        <v/>
      </c>
      <c r="I52">
        <f>IF(B52="","",IF(H52&lt;=0,"PAGO",IF(G52&gt;0,"PARCIAL","PENDENTE")))</f>
        <v/>
      </c>
    </row>
    <row r="53">
      <c r="A53" t="n">
        <v>52</v>
      </c>
      <c r="C53" s="25" t="n"/>
      <c r="F53" s="26" t="n"/>
      <c r="G53" s="26">
        <f>IF(B53="","",SUMIF(Pagamentos!$B$2:$B$1001,A53,Pagamentos!$D$2:$D$1001))</f>
        <v/>
      </c>
      <c r="H53" s="26">
        <f>IF(B53="","",MAX(F53-G53,0))</f>
        <v/>
      </c>
      <c r="I53">
        <f>IF(B53="","",IF(H53&lt;=0,"PAGO",IF(G53&gt;0,"PARCIAL","PENDENTE")))</f>
        <v/>
      </c>
    </row>
    <row r="54">
      <c r="A54" t="n">
        <v>53</v>
      </c>
      <c r="C54" s="25" t="n"/>
      <c r="F54" s="26" t="n"/>
      <c r="G54" s="26">
        <f>IF(B54="","",SUMIF(Pagamentos!$B$2:$B$1001,A54,Pagamentos!$D$2:$D$1001))</f>
        <v/>
      </c>
      <c r="H54" s="26">
        <f>IF(B54="","",MAX(F54-G54,0))</f>
        <v/>
      </c>
      <c r="I54">
        <f>IF(B54="","",IF(H54&lt;=0,"PAGO",IF(G54&gt;0,"PARCIAL","PENDENTE")))</f>
        <v/>
      </c>
    </row>
    <row r="55">
      <c r="A55" t="n">
        <v>54</v>
      </c>
      <c r="C55" s="25" t="n"/>
      <c r="F55" s="26" t="n"/>
      <c r="G55" s="26">
        <f>IF(B55="","",SUMIF(Pagamentos!$B$2:$B$1001,A55,Pagamentos!$D$2:$D$1001))</f>
        <v/>
      </c>
      <c r="H55" s="26">
        <f>IF(B55="","",MAX(F55-G55,0))</f>
        <v/>
      </c>
      <c r="I55">
        <f>IF(B55="","",IF(H55&lt;=0,"PAGO",IF(G55&gt;0,"PARCIAL","PENDENTE")))</f>
        <v/>
      </c>
    </row>
    <row r="56">
      <c r="A56" t="n">
        <v>55</v>
      </c>
      <c r="C56" s="25" t="n"/>
      <c r="F56" s="26" t="n"/>
      <c r="G56" s="26">
        <f>IF(B56="","",SUMIF(Pagamentos!$B$2:$B$1001,A56,Pagamentos!$D$2:$D$1001))</f>
        <v/>
      </c>
      <c r="H56" s="26">
        <f>IF(B56="","",MAX(F56-G56,0))</f>
        <v/>
      </c>
      <c r="I56">
        <f>IF(B56="","",IF(H56&lt;=0,"PAGO",IF(G56&gt;0,"PARCIAL","PENDENTE")))</f>
        <v/>
      </c>
    </row>
    <row r="57">
      <c r="A57" t="n">
        <v>56</v>
      </c>
      <c r="C57" s="25" t="n"/>
      <c r="F57" s="26" t="n"/>
      <c r="G57" s="26">
        <f>IF(B57="","",SUMIF(Pagamentos!$B$2:$B$1001,A57,Pagamentos!$D$2:$D$1001))</f>
        <v/>
      </c>
      <c r="H57" s="26">
        <f>IF(B57="","",MAX(F57-G57,0))</f>
        <v/>
      </c>
      <c r="I57">
        <f>IF(B57="","",IF(H57&lt;=0,"PAGO",IF(G57&gt;0,"PARCIAL","PENDENTE")))</f>
        <v/>
      </c>
    </row>
    <row r="58">
      <c r="A58" t="n">
        <v>57</v>
      </c>
      <c r="C58" s="25" t="n"/>
      <c r="F58" s="26" t="n"/>
      <c r="G58" s="26">
        <f>IF(B58="","",SUMIF(Pagamentos!$B$2:$B$1001,A58,Pagamentos!$D$2:$D$1001))</f>
        <v/>
      </c>
      <c r="H58" s="26">
        <f>IF(B58="","",MAX(F58-G58,0))</f>
        <v/>
      </c>
      <c r="I58">
        <f>IF(B58="","",IF(H58&lt;=0,"PAGO",IF(G58&gt;0,"PARCIAL","PENDENTE")))</f>
        <v/>
      </c>
    </row>
    <row r="59">
      <c r="A59" t="n">
        <v>58</v>
      </c>
      <c r="C59" s="25" t="n"/>
      <c r="F59" s="26" t="n"/>
      <c r="G59" s="26">
        <f>IF(B59="","",SUMIF(Pagamentos!$B$2:$B$1001,A59,Pagamentos!$D$2:$D$1001))</f>
        <v/>
      </c>
      <c r="H59" s="26">
        <f>IF(B59="","",MAX(F59-G59,0))</f>
        <v/>
      </c>
      <c r="I59">
        <f>IF(B59="","",IF(H59&lt;=0,"PAGO",IF(G59&gt;0,"PARCIAL","PENDENTE")))</f>
        <v/>
      </c>
    </row>
    <row r="60">
      <c r="A60" t="n">
        <v>59</v>
      </c>
      <c r="C60" s="25" t="n"/>
      <c r="F60" s="26" t="n"/>
      <c r="G60" s="26">
        <f>IF(B60="","",SUMIF(Pagamentos!$B$2:$B$1001,A60,Pagamentos!$D$2:$D$1001))</f>
        <v/>
      </c>
      <c r="H60" s="26">
        <f>IF(B60="","",MAX(F60-G60,0))</f>
        <v/>
      </c>
      <c r="I60">
        <f>IF(B60="","",IF(H60&lt;=0,"PAGO",IF(G60&gt;0,"PARCIAL","PENDENTE")))</f>
        <v/>
      </c>
    </row>
    <row r="61">
      <c r="A61" t="n">
        <v>60</v>
      </c>
      <c r="C61" s="25" t="n"/>
      <c r="F61" s="26" t="n"/>
      <c r="G61" s="26">
        <f>IF(B61="","",SUMIF(Pagamentos!$B$2:$B$1001,A61,Pagamentos!$D$2:$D$1001))</f>
        <v/>
      </c>
      <c r="H61" s="26">
        <f>IF(B61="","",MAX(F61-G61,0))</f>
        <v/>
      </c>
      <c r="I61">
        <f>IF(B61="","",IF(H61&lt;=0,"PAGO",IF(G61&gt;0,"PARCIAL","PENDENTE")))</f>
        <v/>
      </c>
    </row>
    <row r="62">
      <c r="A62" t="n">
        <v>61</v>
      </c>
      <c r="C62" s="25" t="n"/>
      <c r="F62" s="26" t="n"/>
      <c r="G62" s="26">
        <f>IF(B62="","",SUMIF(Pagamentos!$B$2:$B$1001,A62,Pagamentos!$D$2:$D$1001))</f>
        <v/>
      </c>
      <c r="H62" s="26">
        <f>IF(B62="","",MAX(F62-G62,0))</f>
        <v/>
      </c>
      <c r="I62">
        <f>IF(B62="","",IF(H62&lt;=0,"PAGO",IF(G62&gt;0,"PARCIAL","PENDENTE")))</f>
        <v/>
      </c>
    </row>
    <row r="63">
      <c r="A63" t="n">
        <v>62</v>
      </c>
      <c r="C63" s="25" t="n"/>
      <c r="F63" s="26" t="n"/>
      <c r="G63" s="26">
        <f>IF(B63="","",SUMIF(Pagamentos!$B$2:$B$1001,A63,Pagamentos!$D$2:$D$1001))</f>
        <v/>
      </c>
      <c r="H63" s="26">
        <f>IF(B63="","",MAX(F63-G63,0))</f>
        <v/>
      </c>
      <c r="I63">
        <f>IF(B63="","",IF(H63&lt;=0,"PAGO",IF(G63&gt;0,"PARCIAL","PENDENTE")))</f>
        <v/>
      </c>
    </row>
    <row r="64">
      <c r="A64" t="n">
        <v>63</v>
      </c>
      <c r="C64" s="25" t="n"/>
      <c r="F64" s="26" t="n"/>
      <c r="G64" s="26">
        <f>IF(B64="","",SUMIF(Pagamentos!$B$2:$B$1001,A64,Pagamentos!$D$2:$D$1001))</f>
        <v/>
      </c>
      <c r="H64" s="26">
        <f>IF(B64="","",MAX(F64-G64,0))</f>
        <v/>
      </c>
      <c r="I64">
        <f>IF(B64="","",IF(H64&lt;=0,"PAGO",IF(G64&gt;0,"PARCIAL","PENDENTE")))</f>
        <v/>
      </c>
    </row>
    <row r="65">
      <c r="A65" t="n">
        <v>64</v>
      </c>
      <c r="C65" s="25" t="n"/>
      <c r="F65" s="26" t="n"/>
      <c r="G65" s="26">
        <f>IF(B65="","",SUMIF(Pagamentos!$B$2:$B$1001,A65,Pagamentos!$D$2:$D$1001))</f>
        <v/>
      </c>
      <c r="H65" s="26">
        <f>IF(B65="","",MAX(F65-G65,0))</f>
        <v/>
      </c>
      <c r="I65">
        <f>IF(B65="","",IF(H65&lt;=0,"PAGO",IF(G65&gt;0,"PARCIAL","PENDENTE")))</f>
        <v/>
      </c>
    </row>
    <row r="66">
      <c r="A66" t="n">
        <v>65</v>
      </c>
      <c r="C66" s="25" t="n"/>
      <c r="F66" s="26" t="n"/>
      <c r="G66" s="26">
        <f>IF(B66="","",SUMIF(Pagamentos!$B$2:$B$1001,A66,Pagamentos!$D$2:$D$1001))</f>
        <v/>
      </c>
      <c r="H66" s="26">
        <f>IF(B66="","",MAX(F66-G66,0))</f>
        <v/>
      </c>
      <c r="I66">
        <f>IF(B66="","",IF(H66&lt;=0,"PAGO",IF(G66&gt;0,"PARCIAL","PENDENTE")))</f>
        <v/>
      </c>
    </row>
    <row r="67">
      <c r="A67" t="n">
        <v>66</v>
      </c>
      <c r="C67" s="25" t="n"/>
      <c r="F67" s="26" t="n"/>
      <c r="G67" s="26">
        <f>IF(B67="","",SUMIF(Pagamentos!$B$2:$B$1001,A67,Pagamentos!$D$2:$D$1001))</f>
        <v/>
      </c>
      <c r="H67" s="26">
        <f>IF(B67="","",MAX(F67-G67,0))</f>
        <v/>
      </c>
      <c r="I67">
        <f>IF(B67="","",IF(H67&lt;=0,"PAGO",IF(G67&gt;0,"PARCIAL","PENDENTE")))</f>
        <v/>
      </c>
    </row>
    <row r="68">
      <c r="A68" t="n">
        <v>67</v>
      </c>
      <c r="C68" s="25" t="n"/>
      <c r="F68" s="26" t="n"/>
      <c r="G68" s="26">
        <f>IF(B68="","",SUMIF(Pagamentos!$B$2:$B$1001,A68,Pagamentos!$D$2:$D$1001))</f>
        <v/>
      </c>
      <c r="H68" s="26">
        <f>IF(B68="","",MAX(F68-G68,0))</f>
        <v/>
      </c>
      <c r="I68">
        <f>IF(B68="","",IF(H68&lt;=0,"PAGO",IF(G68&gt;0,"PARCIAL","PENDENTE")))</f>
        <v/>
      </c>
    </row>
    <row r="69">
      <c r="A69" t="n">
        <v>68</v>
      </c>
      <c r="C69" s="25" t="n"/>
      <c r="F69" s="26" t="n"/>
      <c r="G69" s="26">
        <f>IF(B69="","",SUMIF(Pagamentos!$B$2:$B$1001,A69,Pagamentos!$D$2:$D$1001))</f>
        <v/>
      </c>
      <c r="H69" s="26">
        <f>IF(B69="","",MAX(F69-G69,0))</f>
        <v/>
      </c>
      <c r="I69">
        <f>IF(B69="","",IF(H69&lt;=0,"PAGO",IF(G69&gt;0,"PARCIAL","PENDENTE")))</f>
        <v/>
      </c>
    </row>
    <row r="70">
      <c r="A70" t="n">
        <v>69</v>
      </c>
      <c r="C70" s="25" t="n"/>
      <c r="F70" s="26" t="n"/>
      <c r="G70" s="26">
        <f>IF(B70="","",SUMIF(Pagamentos!$B$2:$B$1001,A70,Pagamentos!$D$2:$D$1001))</f>
        <v/>
      </c>
      <c r="H70" s="26">
        <f>IF(B70="","",MAX(F70-G70,0))</f>
        <v/>
      </c>
      <c r="I70">
        <f>IF(B70="","",IF(H70&lt;=0,"PAGO",IF(G70&gt;0,"PARCIAL","PENDENTE")))</f>
        <v/>
      </c>
    </row>
    <row r="71">
      <c r="A71" t="n">
        <v>70</v>
      </c>
      <c r="C71" s="25" t="n"/>
      <c r="F71" s="26" t="n"/>
      <c r="G71" s="26">
        <f>IF(B71="","",SUMIF(Pagamentos!$B$2:$B$1001,A71,Pagamentos!$D$2:$D$1001))</f>
        <v/>
      </c>
      <c r="H71" s="26">
        <f>IF(B71="","",MAX(F71-G71,0))</f>
        <v/>
      </c>
      <c r="I71">
        <f>IF(B71="","",IF(H71&lt;=0,"PAGO",IF(G71&gt;0,"PARCIAL","PENDENTE")))</f>
        <v/>
      </c>
    </row>
    <row r="72">
      <c r="A72" t="n">
        <v>71</v>
      </c>
      <c r="C72" s="25" t="n"/>
      <c r="F72" s="26" t="n"/>
      <c r="G72" s="26">
        <f>IF(B72="","",SUMIF(Pagamentos!$B$2:$B$1001,A72,Pagamentos!$D$2:$D$1001))</f>
        <v/>
      </c>
      <c r="H72" s="26">
        <f>IF(B72="","",MAX(F72-G72,0))</f>
        <v/>
      </c>
      <c r="I72">
        <f>IF(B72="","",IF(H72&lt;=0,"PAGO",IF(G72&gt;0,"PARCIAL","PENDENTE")))</f>
        <v/>
      </c>
    </row>
    <row r="73">
      <c r="A73" t="n">
        <v>72</v>
      </c>
      <c r="C73" s="25" t="n"/>
      <c r="F73" s="26" t="n"/>
      <c r="G73" s="26">
        <f>IF(B73="","",SUMIF(Pagamentos!$B$2:$B$1001,A73,Pagamentos!$D$2:$D$1001))</f>
        <v/>
      </c>
      <c r="H73" s="26">
        <f>IF(B73="","",MAX(F73-G73,0))</f>
        <v/>
      </c>
      <c r="I73">
        <f>IF(B73="","",IF(H73&lt;=0,"PAGO",IF(G73&gt;0,"PARCIAL","PENDENTE")))</f>
        <v/>
      </c>
    </row>
    <row r="74">
      <c r="A74" t="n">
        <v>73</v>
      </c>
      <c r="C74" s="25" t="n"/>
      <c r="F74" s="26" t="n"/>
      <c r="G74" s="26">
        <f>IF(B74="","",SUMIF(Pagamentos!$B$2:$B$1001,A74,Pagamentos!$D$2:$D$1001))</f>
        <v/>
      </c>
      <c r="H74" s="26">
        <f>IF(B74="","",MAX(F74-G74,0))</f>
        <v/>
      </c>
      <c r="I74">
        <f>IF(B74="","",IF(H74&lt;=0,"PAGO",IF(G74&gt;0,"PARCIAL","PENDENTE")))</f>
        <v/>
      </c>
    </row>
    <row r="75">
      <c r="A75" t="n">
        <v>74</v>
      </c>
      <c r="C75" s="25" t="n"/>
      <c r="F75" s="26" t="n"/>
      <c r="G75" s="26">
        <f>IF(B75="","",SUMIF(Pagamentos!$B$2:$B$1001,A75,Pagamentos!$D$2:$D$1001))</f>
        <v/>
      </c>
      <c r="H75" s="26">
        <f>IF(B75="","",MAX(F75-G75,0))</f>
        <v/>
      </c>
      <c r="I75">
        <f>IF(B75="","",IF(H75&lt;=0,"PAGO",IF(G75&gt;0,"PARCIAL","PENDENTE")))</f>
        <v/>
      </c>
    </row>
    <row r="76">
      <c r="A76" t="n">
        <v>75</v>
      </c>
      <c r="C76" s="25" t="n"/>
      <c r="F76" s="26" t="n"/>
      <c r="G76" s="26">
        <f>IF(B76="","",SUMIF(Pagamentos!$B$2:$B$1001,A76,Pagamentos!$D$2:$D$1001))</f>
        <v/>
      </c>
      <c r="H76" s="26">
        <f>IF(B76="","",MAX(F76-G76,0))</f>
        <v/>
      </c>
      <c r="I76">
        <f>IF(B76="","",IF(H76&lt;=0,"PAGO",IF(G76&gt;0,"PARCIAL","PENDENTE")))</f>
        <v/>
      </c>
    </row>
    <row r="77">
      <c r="A77" t="n">
        <v>76</v>
      </c>
      <c r="C77" s="25" t="n"/>
      <c r="F77" s="26" t="n"/>
      <c r="G77" s="26">
        <f>IF(B77="","",SUMIF(Pagamentos!$B$2:$B$1001,A77,Pagamentos!$D$2:$D$1001))</f>
        <v/>
      </c>
      <c r="H77" s="26">
        <f>IF(B77="","",MAX(F77-G77,0))</f>
        <v/>
      </c>
      <c r="I77">
        <f>IF(B77="","",IF(H77&lt;=0,"PAGO",IF(G77&gt;0,"PARCIAL","PENDENTE")))</f>
        <v/>
      </c>
    </row>
    <row r="78">
      <c r="A78" t="n">
        <v>77</v>
      </c>
      <c r="C78" s="25" t="n"/>
      <c r="F78" s="26" t="n"/>
      <c r="G78" s="26">
        <f>IF(B78="","",SUMIF(Pagamentos!$B$2:$B$1001,A78,Pagamentos!$D$2:$D$1001))</f>
        <v/>
      </c>
      <c r="H78" s="26">
        <f>IF(B78="","",MAX(F78-G78,0))</f>
        <v/>
      </c>
      <c r="I78">
        <f>IF(B78="","",IF(H78&lt;=0,"PAGO",IF(G78&gt;0,"PARCIAL","PENDENTE")))</f>
        <v/>
      </c>
    </row>
    <row r="79">
      <c r="A79" t="n">
        <v>78</v>
      </c>
      <c r="C79" s="25" t="n"/>
      <c r="F79" s="26" t="n"/>
      <c r="G79" s="26">
        <f>IF(B79="","",SUMIF(Pagamentos!$B$2:$B$1001,A79,Pagamentos!$D$2:$D$1001))</f>
        <v/>
      </c>
      <c r="H79" s="26">
        <f>IF(B79="","",MAX(F79-G79,0))</f>
        <v/>
      </c>
      <c r="I79">
        <f>IF(B79="","",IF(H79&lt;=0,"PAGO",IF(G79&gt;0,"PARCIAL","PENDENTE")))</f>
        <v/>
      </c>
    </row>
    <row r="80">
      <c r="A80" t="n">
        <v>79</v>
      </c>
      <c r="C80" s="25" t="n"/>
      <c r="F80" s="26" t="n"/>
      <c r="G80" s="26">
        <f>IF(B80="","",SUMIF(Pagamentos!$B$2:$B$1001,A80,Pagamentos!$D$2:$D$1001))</f>
        <v/>
      </c>
      <c r="H80" s="26">
        <f>IF(B80="","",MAX(F80-G80,0))</f>
        <v/>
      </c>
      <c r="I80">
        <f>IF(B80="","",IF(H80&lt;=0,"PAGO",IF(G80&gt;0,"PARCIAL","PENDENTE")))</f>
        <v/>
      </c>
    </row>
    <row r="81">
      <c r="A81" t="n">
        <v>80</v>
      </c>
      <c r="C81" s="25" t="n"/>
      <c r="F81" s="26" t="n"/>
      <c r="G81" s="26">
        <f>IF(B81="","",SUMIF(Pagamentos!$B$2:$B$1001,A81,Pagamentos!$D$2:$D$1001))</f>
        <v/>
      </c>
      <c r="H81" s="26">
        <f>IF(B81="","",MAX(F81-G81,0))</f>
        <v/>
      </c>
      <c r="I81">
        <f>IF(B81="","",IF(H81&lt;=0,"PAGO",IF(G81&gt;0,"PARCIAL","PENDENTE")))</f>
        <v/>
      </c>
    </row>
    <row r="82">
      <c r="A82" t="n">
        <v>81</v>
      </c>
      <c r="C82" s="25" t="n"/>
      <c r="F82" s="26" t="n"/>
      <c r="G82" s="26">
        <f>IF(B82="","",SUMIF(Pagamentos!$B$2:$B$1001,A82,Pagamentos!$D$2:$D$1001))</f>
        <v/>
      </c>
      <c r="H82" s="26">
        <f>IF(B82="","",MAX(F82-G82,0))</f>
        <v/>
      </c>
      <c r="I82">
        <f>IF(B82="","",IF(H82&lt;=0,"PAGO",IF(G82&gt;0,"PARCIAL","PENDENTE")))</f>
        <v/>
      </c>
    </row>
    <row r="83">
      <c r="A83" t="n">
        <v>82</v>
      </c>
      <c r="C83" s="25" t="n"/>
      <c r="F83" s="26" t="n"/>
      <c r="G83" s="26">
        <f>IF(B83="","",SUMIF(Pagamentos!$B$2:$B$1001,A83,Pagamentos!$D$2:$D$1001))</f>
        <v/>
      </c>
      <c r="H83" s="26">
        <f>IF(B83="","",MAX(F83-G83,0))</f>
        <v/>
      </c>
      <c r="I83">
        <f>IF(B83="","",IF(H83&lt;=0,"PAGO",IF(G83&gt;0,"PARCIAL","PENDENTE")))</f>
        <v/>
      </c>
    </row>
    <row r="84">
      <c r="A84" t="n">
        <v>83</v>
      </c>
      <c r="C84" s="25" t="n"/>
      <c r="F84" s="26" t="n"/>
      <c r="G84" s="26">
        <f>IF(B84="","",SUMIF(Pagamentos!$B$2:$B$1001,A84,Pagamentos!$D$2:$D$1001))</f>
        <v/>
      </c>
      <c r="H84" s="26">
        <f>IF(B84="","",MAX(F84-G84,0))</f>
        <v/>
      </c>
      <c r="I84">
        <f>IF(B84="","",IF(H84&lt;=0,"PAGO",IF(G84&gt;0,"PARCIAL","PENDENTE")))</f>
        <v/>
      </c>
    </row>
    <row r="85">
      <c r="A85" t="n">
        <v>84</v>
      </c>
      <c r="C85" s="25" t="n"/>
      <c r="F85" s="26" t="n"/>
      <c r="G85" s="26">
        <f>IF(B85="","",SUMIF(Pagamentos!$B$2:$B$1001,A85,Pagamentos!$D$2:$D$1001))</f>
        <v/>
      </c>
      <c r="H85" s="26">
        <f>IF(B85="","",MAX(F85-G85,0))</f>
        <v/>
      </c>
      <c r="I85">
        <f>IF(B85="","",IF(H85&lt;=0,"PAGO",IF(G85&gt;0,"PARCIAL","PENDENTE")))</f>
        <v/>
      </c>
    </row>
    <row r="86">
      <c r="A86" t="n">
        <v>85</v>
      </c>
      <c r="C86" s="25" t="n"/>
      <c r="F86" s="26" t="n"/>
      <c r="G86" s="26">
        <f>IF(B86="","",SUMIF(Pagamentos!$B$2:$B$1001,A86,Pagamentos!$D$2:$D$1001))</f>
        <v/>
      </c>
      <c r="H86" s="26">
        <f>IF(B86="","",MAX(F86-G86,0))</f>
        <v/>
      </c>
      <c r="I86">
        <f>IF(B86="","",IF(H86&lt;=0,"PAGO",IF(G86&gt;0,"PARCIAL","PENDENTE")))</f>
        <v/>
      </c>
    </row>
    <row r="87">
      <c r="A87" t="n">
        <v>86</v>
      </c>
      <c r="C87" s="25" t="n"/>
      <c r="F87" s="26" t="n"/>
      <c r="G87" s="26">
        <f>IF(B87="","",SUMIF(Pagamentos!$B$2:$B$1001,A87,Pagamentos!$D$2:$D$1001))</f>
        <v/>
      </c>
      <c r="H87" s="26">
        <f>IF(B87="","",MAX(F87-G87,0))</f>
        <v/>
      </c>
      <c r="I87">
        <f>IF(B87="","",IF(H87&lt;=0,"PAGO",IF(G87&gt;0,"PARCIAL","PENDENTE")))</f>
        <v/>
      </c>
    </row>
    <row r="88">
      <c r="A88" t="n">
        <v>87</v>
      </c>
      <c r="C88" s="25" t="n"/>
      <c r="F88" s="26" t="n"/>
      <c r="G88" s="26">
        <f>IF(B88="","",SUMIF(Pagamentos!$B$2:$B$1001,A88,Pagamentos!$D$2:$D$1001))</f>
        <v/>
      </c>
      <c r="H88" s="26">
        <f>IF(B88="","",MAX(F88-G88,0))</f>
        <v/>
      </c>
      <c r="I88">
        <f>IF(B88="","",IF(H88&lt;=0,"PAGO",IF(G88&gt;0,"PARCIAL","PENDENTE")))</f>
        <v/>
      </c>
    </row>
    <row r="89">
      <c r="A89" t="n">
        <v>88</v>
      </c>
      <c r="C89" s="25" t="n"/>
      <c r="F89" s="26" t="n"/>
      <c r="G89" s="26">
        <f>IF(B89="","",SUMIF(Pagamentos!$B$2:$B$1001,A89,Pagamentos!$D$2:$D$1001))</f>
        <v/>
      </c>
      <c r="H89" s="26">
        <f>IF(B89="","",MAX(F89-G89,0))</f>
        <v/>
      </c>
      <c r="I89">
        <f>IF(B89="","",IF(H89&lt;=0,"PAGO",IF(G89&gt;0,"PARCIAL","PENDENTE")))</f>
        <v/>
      </c>
    </row>
    <row r="90">
      <c r="A90" t="n">
        <v>89</v>
      </c>
      <c r="C90" s="25" t="n"/>
      <c r="F90" s="26" t="n"/>
      <c r="G90" s="26">
        <f>IF(B90="","",SUMIF(Pagamentos!$B$2:$B$1001,A90,Pagamentos!$D$2:$D$1001))</f>
        <v/>
      </c>
      <c r="H90" s="26">
        <f>IF(B90="","",MAX(F90-G90,0))</f>
        <v/>
      </c>
      <c r="I90">
        <f>IF(B90="","",IF(H90&lt;=0,"PAGO",IF(G90&gt;0,"PARCIAL","PENDENTE")))</f>
        <v/>
      </c>
    </row>
    <row r="91">
      <c r="A91" t="n">
        <v>90</v>
      </c>
      <c r="C91" s="25" t="n"/>
      <c r="F91" s="26" t="n"/>
      <c r="G91" s="26">
        <f>IF(B91="","",SUMIF(Pagamentos!$B$2:$B$1001,A91,Pagamentos!$D$2:$D$1001))</f>
        <v/>
      </c>
      <c r="H91" s="26">
        <f>IF(B91="","",MAX(F91-G91,0))</f>
        <v/>
      </c>
      <c r="I91">
        <f>IF(B91="","",IF(H91&lt;=0,"PAGO",IF(G91&gt;0,"PARCIAL","PENDENTE")))</f>
        <v/>
      </c>
    </row>
    <row r="92">
      <c r="A92" t="n">
        <v>91</v>
      </c>
      <c r="C92" s="25" t="n"/>
      <c r="F92" s="26" t="n"/>
      <c r="G92" s="26">
        <f>IF(B92="","",SUMIF(Pagamentos!$B$2:$B$1001,A92,Pagamentos!$D$2:$D$1001))</f>
        <v/>
      </c>
      <c r="H92" s="26">
        <f>IF(B92="","",MAX(F92-G92,0))</f>
        <v/>
      </c>
      <c r="I92">
        <f>IF(B92="","",IF(H92&lt;=0,"PAGO",IF(G92&gt;0,"PARCIAL","PENDENTE")))</f>
        <v/>
      </c>
    </row>
    <row r="93">
      <c r="A93" t="n">
        <v>92</v>
      </c>
      <c r="C93" s="25" t="n"/>
      <c r="F93" s="26" t="n"/>
      <c r="G93" s="26">
        <f>IF(B93="","",SUMIF(Pagamentos!$B$2:$B$1001,A93,Pagamentos!$D$2:$D$1001))</f>
        <v/>
      </c>
      <c r="H93" s="26">
        <f>IF(B93="","",MAX(F93-G93,0))</f>
        <v/>
      </c>
      <c r="I93">
        <f>IF(B93="","",IF(H93&lt;=0,"PAGO",IF(G93&gt;0,"PARCIAL","PENDENTE")))</f>
        <v/>
      </c>
    </row>
    <row r="94">
      <c r="A94" t="n">
        <v>93</v>
      </c>
      <c r="C94" s="25" t="n"/>
      <c r="F94" s="26" t="n"/>
      <c r="G94" s="26">
        <f>IF(B94="","",SUMIF(Pagamentos!$B$2:$B$1001,A94,Pagamentos!$D$2:$D$1001))</f>
        <v/>
      </c>
      <c r="H94" s="26">
        <f>IF(B94="","",MAX(F94-G94,0))</f>
        <v/>
      </c>
      <c r="I94">
        <f>IF(B94="","",IF(H94&lt;=0,"PAGO",IF(G94&gt;0,"PARCIAL","PENDENTE")))</f>
        <v/>
      </c>
    </row>
    <row r="95">
      <c r="A95" t="n">
        <v>94</v>
      </c>
      <c r="C95" s="25" t="n"/>
      <c r="F95" s="26" t="n"/>
      <c r="G95" s="26">
        <f>IF(B95="","",SUMIF(Pagamentos!$B$2:$B$1001,A95,Pagamentos!$D$2:$D$1001))</f>
        <v/>
      </c>
      <c r="H95" s="26">
        <f>IF(B95="","",MAX(F95-G95,0))</f>
        <v/>
      </c>
      <c r="I95">
        <f>IF(B95="","",IF(H95&lt;=0,"PAGO",IF(G95&gt;0,"PARCIAL","PENDENTE")))</f>
        <v/>
      </c>
    </row>
    <row r="96">
      <c r="A96" t="n">
        <v>95</v>
      </c>
      <c r="C96" s="25" t="n"/>
      <c r="F96" s="26" t="n"/>
      <c r="G96" s="26">
        <f>IF(B96="","",SUMIF(Pagamentos!$B$2:$B$1001,A96,Pagamentos!$D$2:$D$1001))</f>
        <v/>
      </c>
      <c r="H96" s="26">
        <f>IF(B96="","",MAX(F96-G96,0))</f>
        <v/>
      </c>
      <c r="I96">
        <f>IF(B96="","",IF(H96&lt;=0,"PAGO",IF(G96&gt;0,"PARCIAL","PENDENTE")))</f>
        <v/>
      </c>
    </row>
    <row r="97">
      <c r="A97" t="n">
        <v>96</v>
      </c>
      <c r="C97" s="25" t="n"/>
      <c r="F97" s="26" t="n"/>
      <c r="G97" s="26">
        <f>IF(B97="","",SUMIF(Pagamentos!$B$2:$B$1001,A97,Pagamentos!$D$2:$D$1001))</f>
        <v/>
      </c>
      <c r="H97" s="26">
        <f>IF(B97="","",MAX(F97-G97,0))</f>
        <v/>
      </c>
      <c r="I97">
        <f>IF(B97="","",IF(H97&lt;=0,"PAGO",IF(G97&gt;0,"PARCIAL","PENDENTE")))</f>
        <v/>
      </c>
    </row>
    <row r="98">
      <c r="A98" t="n">
        <v>97</v>
      </c>
      <c r="C98" s="25" t="n"/>
      <c r="F98" s="26" t="n"/>
      <c r="G98" s="26">
        <f>IF(B98="","",SUMIF(Pagamentos!$B$2:$B$1001,A98,Pagamentos!$D$2:$D$1001))</f>
        <v/>
      </c>
      <c r="H98" s="26">
        <f>IF(B98="","",MAX(F98-G98,0))</f>
        <v/>
      </c>
      <c r="I98">
        <f>IF(B98="","",IF(H98&lt;=0,"PAGO",IF(G98&gt;0,"PARCIAL","PENDENTE")))</f>
        <v/>
      </c>
    </row>
    <row r="99">
      <c r="A99" t="n">
        <v>98</v>
      </c>
      <c r="C99" s="25" t="n"/>
      <c r="F99" s="26" t="n"/>
      <c r="G99" s="26">
        <f>IF(B99="","",SUMIF(Pagamentos!$B$2:$B$1001,A99,Pagamentos!$D$2:$D$1001))</f>
        <v/>
      </c>
      <c r="H99" s="26">
        <f>IF(B99="","",MAX(F99-G99,0))</f>
        <v/>
      </c>
      <c r="I99">
        <f>IF(B99="","",IF(H99&lt;=0,"PAGO",IF(G99&gt;0,"PARCIAL","PENDENTE")))</f>
        <v/>
      </c>
    </row>
    <row r="100">
      <c r="A100" t="n">
        <v>99</v>
      </c>
      <c r="C100" s="25" t="n"/>
      <c r="F100" s="26" t="n"/>
      <c r="G100" s="26">
        <f>IF(B100="","",SUMIF(Pagamentos!$B$2:$B$1001,A100,Pagamentos!$D$2:$D$1001))</f>
        <v/>
      </c>
      <c r="H100" s="26">
        <f>IF(B100="","",MAX(F100-G100,0))</f>
        <v/>
      </c>
      <c r="I100">
        <f>IF(B100="","",IF(H100&lt;=0,"PAGO",IF(G100&gt;0,"PARCIAL","PENDENTE")))</f>
        <v/>
      </c>
    </row>
    <row r="101">
      <c r="A101" t="n">
        <v>100</v>
      </c>
      <c r="C101" s="25" t="n"/>
      <c r="F101" s="26" t="n"/>
      <c r="G101" s="26">
        <f>IF(B101="","",SUMIF(Pagamentos!$B$2:$B$1001,A101,Pagamentos!$D$2:$D$1001))</f>
        <v/>
      </c>
      <c r="H101" s="26">
        <f>IF(B101="","",MAX(F101-G101,0))</f>
        <v/>
      </c>
      <c r="I101">
        <f>IF(B101="","",IF(H101&lt;=0,"PAGO",IF(G101&gt;0,"PARCIAL","PENDENTE")))</f>
        <v/>
      </c>
    </row>
    <row r="102">
      <c r="A102" t="n">
        <v>101</v>
      </c>
      <c r="C102" s="25" t="n"/>
      <c r="F102" s="26" t="n"/>
      <c r="G102" s="26">
        <f>IF(B102="","",SUMIF(Pagamentos!$B$2:$B$1001,A102,Pagamentos!$D$2:$D$1001))</f>
        <v/>
      </c>
      <c r="H102" s="26">
        <f>IF(B102="","",MAX(F102-G102,0))</f>
        <v/>
      </c>
      <c r="I102">
        <f>IF(B102="","",IF(H102&lt;=0,"PAGO",IF(G102&gt;0,"PARCIAL","PENDENTE")))</f>
        <v/>
      </c>
    </row>
    <row r="103">
      <c r="A103" t="n">
        <v>102</v>
      </c>
      <c r="C103" s="25" t="n"/>
      <c r="F103" s="26" t="n"/>
      <c r="G103" s="26">
        <f>IF(B103="","",SUMIF(Pagamentos!$B$2:$B$1001,A103,Pagamentos!$D$2:$D$1001))</f>
        <v/>
      </c>
      <c r="H103" s="26">
        <f>IF(B103="","",MAX(F103-G103,0))</f>
        <v/>
      </c>
      <c r="I103">
        <f>IF(B103="","",IF(H103&lt;=0,"PAGO",IF(G103&gt;0,"PARCIAL","PENDENTE")))</f>
        <v/>
      </c>
    </row>
    <row r="104">
      <c r="A104" t="n">
        <v>103</v>
      </c>
      <c r="C104" s="25" t="n"/>
      <c r="F104" s="26" t="n"/>
      <c r="G104" s="26">
        <f>IF(B104="","",SUMIF(Pagamentos!$B$2:$B$1001,A104,Pagamentos!$D$2:$D$1001))</f>
        <v/>
      </c>
      <c r="H104" s="26">
        <f>IF(B104="","",MAX(F104-G104,0))</f>
        <v/>
      </c>
      <c r="I104">
        <f>IF(B104="","",IF(H104&lt;=0,"PAGO",IF(G104&gt;0,"PARCIAL","PENDENTE")))</f>
        <v/>
      </c>
    </row>
    <row r="105">
      <c r="A105" t="n">
        <v>104</v>
      </c>
      <c r="C105" s="25" t="n"/>
      <c r="F105" s="26" t="n"/>
      <c r="G105" s="26">
        <f>IF(B105="","",SUMIF(Pagamentos!$B$2:$B$1001,A105,Pagamentos!$D$2:$D$1001))</f>
        <v/>
      </c>
      <c r="H105" s="26">
        <f>IF(B105="","",MAX(F105-G105,0))</f>
        <v/>
      </c>
      <c r="I105">
        <f>IF(B105="","",IF(H105&lt;=0,"PAGO",IF(G105&gt;0,"PARCIAL","PENDENTE")))</f>
        <v/>
      </c>
    </row>
    <row r="106">
      <c r="A106" t="n">
        <v>105</v>
      </c>
      <c r="C106" s="25" t="n"/>
      <c r="F106" s="26" t="n"/>
      <c r="G106" s="26">
        <f>IF(B106="","",SUMIF(Pagamentos!$B$2:$B$1001,A106,Pagamentos!$D$2:$D$1001))</f>
        <v/>
      </c>
      <c r="H106" s="26">
        <f>IF(B106="","",MAX(F106-G106,0))</f>
        <v/>
      </c>
      <c r="I106">
        <f>IF(B106="","",IF(H106&lt;=0,"PAGO",IF(G106&gt;0,"PARCIAL","PENDENTE")))</f>
        <v/>
      </c>
    </row>
    <row r="107">
      <c r="A107" t="n">
        <v>106</v>
      </c>
      <c r="C107" s="25" t="n"/>
      <c r="F107" s="26" t="n"/>
      <c r="G107" s="26">
        <f>IF(B107="","",SUMIF(Pagamentos!$B$2:$B$1001,A107,Pagamentos!$D$2:$D$1001))</f>
        <v/>
      </c>
      <c r="H107" s="26">
        <f>IF(B107="","",MAX(F107-G107,0))</f>
        <v/>
      </c>
      <c r="I107">
        <f>IF(B107="","",IF(H107&lt;=0,"PAGO",IF(G107&gt;0,"PARCIAL","PENDENTE")))</f>
        <v/>
      </c>
    </row>
    <row r="108">
      <c r="A108" t="n">
        <v>107</v>
      </c>
      <c r="C108" s="25" t="n"/>
      <c r="F108" s="26" t="n"/>
      <c r="G108" s="26">
        <f>IF(B108="","",SUMIF(Pagamentos!$B$2:$B$1001,A108,Pagamentos!$D$2:$D$1001))</f>
        <v/>
      </c>
      <c r="H108" s="26">
        <f>IF(B108="","",MAX(F108-G108,0))</f>
        <v/>
      </c>
      <c r="I108">
        <f>IF(B108="","",IF(H108&lt;=0,"PAGO",IF(G108&gt;0,"PARCIAL","PENDENTE")))</f>
        <v/>
      </c>
    </row>
    <row r="109">
      <c r="A109" t="n">
        <v>108</v>
      </c>
      <c r="C109" s="25" t="n"/>
      <c r="F109" s="26" t="n"/>
      <c r="G109" s="26">
        <f>IF(B109="","",SUMIF(Pagamentos!$B$2:$B$1001,A109,Pagamentos!$D$2:$D$1001))</f>
        <v/>
      </c>
      <c r="H109" s="26">
        <f>IF(B109="","",MAX(F109-G109,0))</f>
        <v/>
      </c>
      <c r="I109">
        <f>IF(B109="","",IF(H109&lt;=0,"PAGO",IF(G109&gt;0,"PARCIAL","PENDENTE")))</f>
        <v/>
      </c>
    </row>
    <row r="110">
      <c r="A110" t="n">
        <v>109</v>
      </c>
      <c r="C110" s="25" t="n"/>
      <c r="F110" s="26" t="n"/>
      <c r="G110" s="26">
        <f>IF(B110="","",SUMIF(Pagamentos!$B$2:$B$1001,A110,Pagamentos!$D$2:$D$1001))</f>
        <v/>
      </c>
      <c r="H110" s="26">
        <f>IF(B110="","",MAX(F110-G110,0))</f>
        <v/>
      </c>
      <c r="I110">
        <f>IF(B110="","",IF(H110&lt;=0,"PAGO",IF(G110&gt;0,"PARCIAL","PENDENTE")))</f>
        <v/>
      </c>
    </row>
    <row r="111">
      <c r="A111" t="n">
        <v>110</v>
      </c>
      <c r="C111" s="25" t="n"/>
      <c r="F111" s="26" t="n"/>
      <c r="G111" s="26">
        <f>IF(B111="","",SUMIF(Pagamentos!$B$2:$B$1001,A111,Pagamentos!$D$2:$D$1001))</f>
        <v/>
      </c>
      <c r="H111" s="26">
        <f>IF(B111="","",MAX(F111-G111,0))</f>
        <v/>
      </c>
      <c r="I111">
        <f>IF(B111="","",IF(H111&lt;=0,"PAGO",IF(G111&gt;0,"PARCIAL","PENDENTE")))</f>
        <v/>
      </c>
    </row>
    <row r="112">
      <c r="A112" t="n">
        <v>111</v>
      </c>
      <c r="C112" s="25" t="n"/>
      <c r="F112" s="26" t="n"/>
      <c r="G112" s="26">
        <f>IF(B112="","",SUMIF(Pagamentos!$B$2:$B$1001,A112,Pagamentos!$D$2:$D$1001))</f>
        <v/>
      </c>
      <c r="H112" s="26">
        <f>IF(B112="","",MAX(F112-G112,0))</f>
        <v/>
      </c>
      <c r="I112">
        <f>IF(B112="","",IF(H112&lt;=0,"PAGO",IF(G112&gt;0,"PARCIAL","PENDENTE")))</f>
        <v/>
      </c>
    </row>
    <row r="113">
      <c r="A113" t="n">
        <v>112</v>
      </c>
      <c r="C113" s="25" t="n"/>
      <c r="F113" s="26" t="n"/>
      <c r="G113" s="26">
        <f>IF(B113="","",SUMIF(Pagamentos!$B$2:$B$1001,A113,Pagamentos!$D$2:$D$1001))</f>
        <v/>
      </c>
      <c r="H113" s="26">
        <f>IF(B113="","",MAX(F113-G113,0))</f>
        <v/>
      </c>
      <c r="I113">
        <f>IF(B113="","",IF(H113&lt;=0,"PAGO",IF(G113&gt;0,"PARCIAL","PENDENTE")))</f>
        <v/>
      </c>
    </row>
    <row r="114">
      <c r="A114" t="n">
        <v>113</v>
      </c>
      <c r="C114" s="25" t="n"/>
      <c r="F114" s="26" t="n"/>
      <c r="G114" s="26">
        <f>IF(B114="","",SUMIF(Pagamentos!$B$2:$B$1001,A114,Pagamentos!$D$2:$D$1001))</f>
        <v/>
      </c>
      <c r="H114" s="26">
        <f>IF(B114="","",MAX(F114-G114,0))</f>
        <v/>
      </c>
      <c r="I114">
        <f>IF(B114="","",IF(H114&lt;=0,"PAGO",IF(G114&gt;0,"PARCIAL","PENDENTE")))</f>
        <v/>
      </c>
    </row>
    <row r="115">
      <c r="A115" t="n">
        <v>114</v>
      </c>
      <c r="C115" s="25" t="n"/>
      <c r="F115" s="26" t="n"/>
      <c r="G115" s="26">
        <f>IF(B115="","",SUMIF(Pagamentos!$B$2:$B$1001,A115,Pagamentos!$D$2:$D$1001))</f>
        <v/>
      </c>
      <c r="H115" s="26">
        <f>IF(B115="","",MAX(F115-G115,0))</f>
        <v/>
      </c>
      <c r="I115">
        <f>IF(B115="","",IF(H115&lt;=0,"PAGO",IF(G115&gt;0,"PARCIAL","PENDENTE")))</f>
        <v/>
      </c>
    </row>
    <row r="116">
      <c r="A116" t="n">
        <v>115</v>
      </c>
      <c r="C116" s="25" t="n"/>
      <c r="F116" s="26" t="n"/>
      <c r="G116" s="26">
        <f>IF(B116="","",SUMIF(Pagamentos!$B$2:$B$1001,A116,Pagamentos!$D$2:$D$1001))</f>
        <v/>
      </c>
      <c r="H116" s="26">
        <f>IF(B116="","",MAX(F116-G116,0))</f>
        <v/>
      </c>
      <c r="I116">
        <f>IF(B116="","",IF(H116&lt;=0,"PAGO",IF(G116&gt;0,"PARCIAL","PENDENTE")))</f>
        <v/>
      </c>
    </row>
    <row r="117">
      <c r="A117" t="n">
        <v>116</v>
      </c>
      <c r="C117" s="25" t="n"/>
      <c r="F117" s="26" t="n"/>
      <c r="G117" s="26">
        <f>IF(B117="","",SUMIF(Pagamentos!$B$2:$B$1001,A117,Pagamentos!$D$2:$D$1001))</f>
        <v/>
      </c>
      <c r="H117" s="26">
        <f>IF(B117="","",MAX(F117-G117,0))</f>
        <v/>
      </c>
      <c r="I117">
        <f>IF(B117="","",IF(H117&lt;=0,"PAGO",IF(G117&gt;0,"PARCIAL","PENDENTE")))</f>
        <v/>
      </c>
    </row>
    <row r="118">
      <c r="A118" t="n">
        <v>117</v>
      </c>
      <c r="C118" s="25" t="n"/>
      <c r="F118" s="26" t="n"/>
      <c r="G118" s="26">
        <f>IF(B118="","",SUMIF(Pagamentos!$B$2:$B$1001,A118,Pagamentos!$D$2:$D$1001))</f>
        <v/>
      </c>
      <c r="H118" s="26">
        <f>IF(B118="","",MAX(F118-G118,0))</f>
        <v/>
      </c>
      <c r="I118">
        <f>IF(B118="","",IF(H118&lt;=0,"PAGO",IF(G118&gt;0,"PARCIAL","PENDENTE")))</f>
        <v/>
      </c>
    </row>
    <row r="119">
      <c r="A119" t="n">
        <v>118</v>
      </c>
      <c r="C119" s="25" t="n"/>
      <c r="F119" s="26" t="n"/>
      <c r="G119" s="26">
        <f>IF(B119="","",SUMIF(Pagamentos!$B$2:$B$1001,A119,Pagamentos!$D$2:$D$1001))</f>
        <v/>
      </c>
      <c r="H119" s="26">
        <f>IF(B119="","",MAX(F119-G119,0))</f>
        <v/>
      </c>
      <c r="I119">
        <f>IF(B119="","",IF(H119&lt;=0,"PAGO",IF(G119&gt;0,"PARCIAL","PENDENTE")))</f>
        <v/>
      </c>
    </row>
    <row r="120">
      <c r="A120" t="n">
        <v>119</v>
      </c>
      <c r="C120" s="25" t="n"/>
      <c r="F120" s="26" t="n"/>
      <c r="G120" s="26">
        <f>IF(B120="","",SUMIF(Pagamentos!$B$2:$B$1001,A120,Pagamentos!$D$2:$D$1001))</f>
        <v/>
      </c>
      <c r="H120" s="26">
        <f>IF(B120="","",MAX(F120-G120,0))</f>
        <v/>
      </c>
      <c r="I120">
        <f>IF(B120="","",IF(H120&lt;=0,"PAGO",IF(G120&gt;0,"PARCIAL","PENDENTE")))</f>
        <v/>
      </c>
    </row>
    <row r="121">
      <c r="A121" t="n">
        <v>120</v>
      </c>
      <c r="C121" s="25" t="n"/>
      <c r="F121" s="26" t="n"/>
      <c r="G121" s="26">
        <f>IF(B121="","",SUMIF(Pagamentos!$B$2:$B$1001,A121,Pagamentos!$D$2:$D$1001))</f>
        <v/>
      </c>
      <c r="H121" s="26">
        <f>IF(B121="","",MAX(F121-G121,0))</f>
        <v/>
      </c>
      <c r="I121">
        <f>IF(B121="","",IF(H121&lt;=0,"PAGO",IF(G121&gt;0,"PARCIAL","PENDENTE")))</f>
        <v/>
      </c>
    </row>
    <row r="122">
      <c r="A122" t="n">
        <v>121</v>
      </c>
      <c r="C122" s="25" t="n"/>
      <c r="F122" s="26" t="n"/>
      <c r="G122" s="26">
        <f>IF(B122="","",SUMIF(Pagamentos!$B$2:$B$1001,A122,Pagamentos!$D$2:$D$1001))</f>
        <v/>
      </c>
      <c r="H122" s="26">
        <f>IF(B122="","",MAX(F122-G122,0))</f>
        <v/>
      </c>
      <c r="I122">
        <f>IF(B122="","",IF(H122&lt;=0,"PAGO",IF(G122&gt;0,"PARCIAL","PENDENTE")))</f>
        <v/>
      </c>
    </row>
    <row r="123">
      <c r="A123" t="n">
        <v>122</v>
      </c>
      <c r="C123" s="25" t="n"/>
      <c r="F123" s="26" t="n"/>
      <c r="G123" s="26">
        <f>IF(B123="","",SUMIF(Pagamentos!$B$2:$B$1001,A123,Pagamentos!$D$2:$D$1001))</f>
        <v/>
      </c>
      <c r="H123" s="26">
        <f>IF(B123="","",MAX(F123-G123,0))</f>
        <v/>
      </c>
      <c r="I123">
        <f>IF(B123="","",IF(H123&lt;=0,"PAGO",IF(G123&gt;0,"PARCIAL","PENDENTE")))</f>
        <v/>
      </c>
    </row>
    <row r="124">
      <c r="A124" t="n">
        <v>123</v>
      </c>
      <c r="C124" s="25" t="n"/>
      <c r="F124" s="26" t="n"/>
      <c r="G124" s="26">
        <f>IF(B124="","",SUMIF(Pagamentos!$B$2:$B$1001,A124,Pagamentos!$D$2:$D$1001))</f>
        <v/>
      </c>
      <c r="H124" s="26">
        <f>IF(B124="","",MAX(F124-G124,0))</f>
        <v/>
      </c>
      <c r="I124">
        <f>IF(B124="","",IF(H124&lt;=0,"PAGO",IF(G124&gt;0,"PARCIAL","PENDENTE")))</f>
        <v/>
      </c>
    </row>
    <row r="125">
      <c r="A125" t="n">
        <v>124</v>
      </c>
      <c r="C125" s="25" t="n"/>
      <c r="F125" s="26" t="n"/>
      <c r="G125" s="26">
        <f>IF(B125="","",SUMIF(Pagamentos!$B$2:$B$1001,A125,Pagamentos!$D$2:$D$1001))</f>
        <v/>
      </c>
      <c r="H125" s="26">
        <f>IF(B125="","",MAX(F125-G125,0))</f>
        <v/>
      </c>
      <c r="I125">
        <f>IF(B125="","",IF(H125&lt;=0,"PAGO",IF(G125&gt;0,"PARCIAL","PENDENTE")))</f>
        <v/>
      </c>
    </row>
    <row r="126">
      <c r="A126" t="n">
        <v>125</v>
      </c>
      <c r="C126" s="25" t="n"/>
      <c r="F126" s="26" t="n"/>
      <c r="G126" s="26">
        <f>IF(B126="","",SUMIF(Pagamentos!$B$2:$B$1001,A126,Pagamentos!$D$2:$D$1001))</f>
        <v/>
      </c>
      <c r="H126" s="26">
        <f>IF(B126="","",MAX(F126-G126,0))</f>
        <v/>
      </c>
      <c r="I126">
        <f>IF(B126="","",IF(H126&lt;=0,"PAGO",IF(G126&gt;0,"PARCIAL","PENDENTE")))</f>
        <v/>
      </c>
    </row>
    <row r="127">
      <c r="A127" t="n">
        <v>126</v>
      </c>
      <c r="C127" s="25" t="n"/>
      <c r="F127" s="26" t="n"/>
      <c r="G127" s="26">
        <f>IF(B127="","",SUMIF(Pagamentos!$B$2:$B$1001,A127,Pagamentos!$D$2:$D$1001))</f>
        <v/>
      </c>
      <c r="H127" s="26">
        <f>IF(B127="","",MAX(F127-G127,0))</f>
        <v/>
      </c>
      <c r="I127">
        <f>IF(B127="","",IF(H127&lt;=0,"PAGO",IF(G127&gt;0,"PARCIAL","PENDENTE")))</f>
        <v/>
      </c>
    </row>
    <row r="128">
      <c r="A128" t="n">
        <v>127</v>
      </c>
      <c r="C128" s="25" t="n"/>
      <c r="F128" s="26" t="n"/>
      <c r="G128" s="26">
        <f>IF(B128="","",SUMIF(Pagamentos!$B$2:$B$1001,A128,Pagamentos!$D$2:$D$1001))</f>
        <v/>
      </c>
      <c r="H128" s="26">
        <f>IF(B128="","",MAX(F128-G128,0))</f>
        <v/>
      </c>
      <c r="I128">
        <f>IF(B128="","",IF(H128&lt;=0,"PAGO",IF(G128&gt;0,"PARCIAL","PENDENTE")))</f>
        <v/>
      </c>
    </row>
    <row r="129">
      <c r="A129" t="n">
        <v>128</v>
      </c>
      <c r="C129" s="25" t="n"/>
      <c r="F129" s="26" t="n"/>
      <c r="G129" s="26">
        <f>IF(B129="","",SUMIF(Pagamentos!$B$2:$B$1001,A129,Pagamentos!$D$2:$D$1001))</f>
        <v/>
      </c>
      <c r="H129" s="26">
        <f>IF(B129="","",MAX(F129-G129,0))</f>
        <v/>
      </c>
      <c r="I129">
        <f>IF(B129="","",IF(H129&lt;=0,"PAGO",IF(G129&gt;0,"PARCIAL","PENDENTE")))</f>
        <v/>
      </c>
    </row>
    <row r="130">
      <c r="A130" t="n">
        <v>129</v>
      </c>
      <c r="C130" s="25" t="n"/>
      <c r="F130" s="26" t="n"/>
      <c r="G130" s="26">
        <f>IF(B130="","",SUMIF(Pagamentos!$B$2:$B$1001,A130,Pagamentos!$D$2:$D$1001))</f>
        <v/>
      </c>
      <c r="H130" s="26">
        <f>IF(B130="","",MAX(F130-G130,0))</f>
        <v/>
      </c>
      <c r="I130">
        <f>IF(B130="","",IF(H130&lt;=0,"PAGO",IF(G130&gt;0,"PARCIAL","PENDENTE")))</f>
        <v/>
      </c>
    </row>
    <row r="131">
      <c r="A131" t="n">
        <v>130</v>
      </c>
      <c r="C131" s="25" t="n"/>
      <c r="F131" s="26" t="n"/>
      <c r="G131" s="26">
        <f>IF(B131="","",SUMIF(Pagamentos!$B$2:$B$1001,A131,Pagamentos!$D$2:$D$1001))</f>
        <v/>
      </c>
      <c r="H131" s="26">
        <f>IF(B131="","",MAX(F131-G131,0))</f>
        <v/>
      </c>
      <c r="I131">
        <f>IF(B131="","",IF(H131&lt;=0,"PAGO",IF(G131&gt;0,"PARCIAL","PENDENTE")))</f>
        <v/>
      </c>
    </row>
    <row r="132">
      <c r="A132" t="n">
        <v>131</v>
      </c>
      <c r="C132" s="25" t="n"/>
      <c r="F132" s="26" t="n"/>
      <c r="G132" s="26">
        <f>IF(B132="","",SUMIF(Pagamentos!$B$2:$B$1001,A132,Pagamentos!$D$2:$D$1001))</f>
        <v/>
      </c>
      <c r="H132" s="26">
        <f>IF(B132="","",MAX(F132-G132,0))</f>
        <v/>
      </c>
      <c r="I132">
        <f>IF(B132="","",IF(H132&lt;=0,"PAGO",IF(G132&gt;0,"PARCIAL","PENDENTE")))</f>
        <v/>
      </c>
    </row>
    <row r="133">
      <c r="A133" t="n">
        <v>132</v>
      </c>
      <c r="C133" s="25" t="n"/>
      <c r="F133" s="26" t="n"/>
      <c r="G133" s="26">
        <f>IF(B133="","",SUMIF(Pagamentos!$B$2:$B$1001,A133,Pagamentos!$D$2:$D$1001))</f>
        <v/>
      </c>
      <c r="H133" s="26">
        <f>IF(B133="","",MAX(F133-G133,0))</f>
        <v/>
      </c>
      <c r="I133">
        <f>IF(B133="","",IF(H133&lt;=0,"PAGO",IF(G133&gt;0,"PARCIAL","PENDENTE")))</f>
        <v/>
      </c>
    </row>
    <row r="134">
      <c r="A134" t="n">
        <v>133</v>
      </c>
      <c r="C134" s="25" t="n"/>
      <c r="F134" s="26" t="n"/>
      <c r="G134" s="26">
        <f>IF(B134="","",SUMIF(Pagamentos!$B$2:$B$1001,A134,Pagamentos!$D$2:$D$1001))</f>
        <v/>
      </c>
      <c r="H134" s="26">
        <f>IF(B134="","",MAX(F134-G134,0))</f>
        <v/>
      </c>
      <c r="I134">
        <f>IF(B134="","",IF(H134&lt;=0,"PAGO",IF(G134&gt;0,"PARCIAL","PENDENTE")))</f>
        <v/>
      </c>
    </row>
    <row r="135">
      <c r="A135" t="n">
        <v>134</v>
      </c>
      <c r="C135" s="25" t="n"/>
      <c r="F135" s="26" t="n"/>
      <c r="G135" s="26">
        <f>IF(B135="","",SUMIF(Pagamentos!$B$2:$B$1001,A135,Pagamentos!$D$2:$D$1001))</f>
        <v/>
      </c>
      <c r="H135" s="26">
        <f>IF(B135="","",MAX(F135-G135,0))</f>
        <v/>
      </c>
      <c r="I135">
        <f>IF(B135="","",IF(H135&lt;=0,"PAGO",IF(G135&gt;0,"PARCIAL","PENDENTE")))</f>
        <v/>
      </c>
    </row>
    <row r="136">
      <c r="A136" t="n">
        <v>135</v>
      </c>
      <c r="C136" s="25" t="n"/>
      <c r="F136" s="26" t="n"/>
      <c r="G136" s="26">
        <f>IF(B136="","",SUMIF(Pagamentos!$B$2:$B$1001,A136,Pagamentos!$D$2:$D$1001))</f>
        <v/>
      </c>
      <c r="H136" s="26">
        <f>IF(B136="","",MAX(F136-G136,0))</f>
        <v/>
      </c>
      <c r="I136">
        <f>IF(B136="","",IF(H136&lt;=0,"PAGO",IF(G136&gt;0,"PARCIAL","PENDENTE")))</f>
        <v/>
      </c>
    </row>
    <row r="137">
      <c r="A137" t="n">
        <v>136</v>
      </c>
      <c r="C137" s="25" t="n"/>
      <c r="F137" s="26" t="n"/>
      <c r="G137" s="26">
        <f>IF(B137="","",SUMIF(Pagamentos!$B$2:$B$1001,A137,Pagamentos!$D$2:$D$1001))</f>
        <v/>
      </c>
      <c r="H137" s="26">
        <f>IF(B137="","",MAX(F137-G137,0))</f>
        <v/>
      </c>
      <c r="I137">
        <f>IF(B137="","",IF(H137&lt;=0,"PAGO",IF(G137&gt;0,"PARCIAL","PENDENTE")))</f>
        <v/>
      </c>
    </row>
    <row r="138">
      <c r="A138" t="n">
        <v>137</v>
      </c>
      <c r="C138" s="25" t="n"/>
      <c r="F138" s="26" t="n"/>
      <c r="G138" s="26">
        <f>IF(B138="","",SUMIF(Pagamentos!$B$2:$B$1001,A138,Pagamentos!$D$2:$D$1001))</f>
        <v/>
      </c>
      <c r="H138" s="26">
        <f>IF(B138="","",MAX(F138-G138,0))</f>
        <v/>
      </c>
      <c r="I138">
        <f>IF(B138="","",IF(H138&lt;=0,"PAGO",IF(G138&gt;0,"PARCIAL","PENDENTE")))</f>
        <v/>
      </c>
    </row>
    <row r="139">
      <c r="A139" t="n">
        <v>138</v>
      </c>
      <c r="C139" s="25" t="n"/>
      <c r="F139" s="26" t="n"/>
      <c r="G139" s="26">
        <f>IF(B139="","",SUMIF(Pagamentos!$B$2:$B$1001,A139,Pagamentos!$D$2:$D$1001))</f>
        <v/>
      </c>
      <c r="H139" s="26">
        <f>IF(B139="","",MAX(F139-G139,0))</f>
        <v/>
      </c>
      <c r="I139">
        <f>IF(B139="","",IF(H139&lt;=0,"PAGO",IF(G139&gt;0,"PARCIAL","PENDENTE")))</f>
        <v/>
      </c>
    </row>
    <row r="140">
      <c r="A140" t="n">
        <v>139</v>
      </c>
      <c r="C140" s="25" t="n"/>
      <c r="F140" s="26" t="n"/>
      <c r="G140" s="26">
        <f>IF(B140="","",SUMIF(Pagamentos!$B$2:$B$1001,A140,Pagamentos!$D$2:$D$1001))</f>
        <v/>
      </c>
      <c r="H140" s="26">
        <f>IF(B140="","",MAX(F140-G140,0))</f>
        <v/>
      </c>
      <c r="I140">
        <f>IF(B140="","",IF(H140&lt;=0,"PAGO",IF(G140&gt;0,"PARCIAL","PENDENTE")))</f>
        <v/>
      </c>
    </row>
    <row r="141">
      <c r="A141" t="n">
        <v>140</v>
      </c>
      <c r="C141" s="25" t="n"/>
      <c r="F141" s="26" t="n"/>
      <c r="G141" s="26">
        <f>IF(B141="","",SUMIF(Pagamentos!$B$2:$B$1001,A141,Pagamentos!$D$2:$D$1001))</f>
        <v/>
      </c>
      <c r="H141" s="26">
        <f>IF(B141="","",MAX(F141-G141,0))</f>
        <v/>
      </c>
      <c r="I141">
        <f>IF(B141="","",IF(H141&lt;=0,"PAGO",IF(G141&gt;0,"PARCIAL","PENDENTE")))</f>
        <v/>
      </c>
    </row>
    <row r="142">
      <c r="A142" t="n">
        <v>141</v>
      </c>
      <c r="C142" s="25" t="n"/>
      <c r="F142" s="26" t="n"/>
      <c r="G142" s="26">
        <f>IF(B142="","",SUMIF(Pagamentos!$B$2:$B$1001,A142,Pagamentos!$D$2:$D$1001))</f>
        <v/>
      </c>
      <c r="H142" s="26">
        <f>IF(B142="","",MAX(F142-G142,0))</f>
        <v/>
      </c>
      <c r="I142">
        <f>IF(B142="","",IF(H142&lt;=0,"PAGO",IF(G142&gt;0,"PARCIAL","PENDENTE")))</f>
        <v/>
      </c>
    </row>
    <row r="143">
      <c r="A143" t="n">
        <v>142</v>
      </c>
      <c r="C143" s="25" t="n"/>
      <c r="F143" s="26" t="n"/>
      <c r="G143" s="26">
        <f>IF(B143="","",SUMIF(Pagamentos!$B$2:$B$1001,A143,Pagamentos!$D$2:$D$1001))</f>
        <v/>
      </c>
      <c r="H143" s="26">
        <f>IF(B143="","",MAX(F143-G143,0))</f>
        <v/>
      </c>
      <c r="I143">
        <f>IF(B143="","",IF(H143&lt;=0,"PAGO",IF(G143&gt;0,"PARCIAL","PENDENTE")))</f>
        <v/>
      </c>
    </row>
    <row r="144">
      <c r="A144" t="n">
        <v>143</v>
      </c>
      <c r="C144" s="25" t="n"/>
      <c r="F144" s="26" t="n"/>
      <c r="G144" s="26">
        <f>IF(B144="","",SUMIF(Pagamentos!$B$2:$B$1001,A144,Pagamentos!$D$2:$D$1001))</f>
        <v/>
      </c>
      <c r="H144" s="26">
        <f>IF(B144="","",MAX(F144-G144,0))</f>
        <v/>
      </c>
      <c r="I144">
        <f>IF(B144="","",IF(H144&lt;=0,"PAGO",IF(G144&gt;0,"PARCIAL","PENDENTE")))</f>
        <v/>
      </c>
    </row>
    <row r="145">
      <c r="A145" t="n">
        <v>144</v>
      </c>
      <c r="C145" s="25" t="n"/>
      <c r="F145" s="26" t="n"/>
      <c r="G145" s="26">
        <f>IF(B145="","",SUMIF(Pagamentos!$B$2:$B$1001,A145,Pagamentos!$D$2:$D$1001))</f>
        <v/>
      </c>
      <c r="H145" s="26">
        <f>IF(B145="","",MAX(F145-G145,0))</f>
        <v/>
      </c>
      <c r="I145">
        <f>IF(B145="","",IF(H145&lt;=0,"PAGO",IF(G145&gt;0,"PARCIAL","PENDENTE")))</f>
        <v/>
      </c>
    </row>
    <row r="146">
      <c r="A146" t="n">
        <v>145</v>
      </c>
      <c r="C146" s="25" t="n"/>
      <c r="F146" s="26" t="n"/>
      <c r="G146" s="26">
        <f>IF(B146="","",SUMIF(Pagamentos!$B$2:$B$1001,A146,Pagamentos!$D$2:$D$1001))</f>
        <v/>
      </c>
      <c r="H146" s="26">
        <f>IF(B146="","",MAX(F146-G146,0))</f>
        <v/>
      </c>
      <c r="I146">
        <f>IF(B146="","",IF(H146&lt;=0,"PAGO",IF(G146&gt;0,"PARCIAL","PENDENTE")))</f>
        <v/>
      </c>
    </row>
    <row r="147">
      <c r="A147" t="n">
        <v>146</v>
      </c>
      <c r="C147" s="25" t="n"/>
      <c r="F147" s="26" t="n"/>
      <c r="G147" s="26">
        <f>IF(B147="","",SUMIF(Pagamentos!$B$2:$B$1001,A147,Pagamentos!$D$2:$D$1001))</f>
        <v/>
      </c>
      <c r="H147" s="26">
        <f>IF(B147="","",MAX(F147-G147,0))</f>
        <v/>
      </c>
      <c r="I147">
        <f>IF(B147="","",IF(H147&lt;=0,"PAGO",IF(G147&gt;0,"PARCIAL","PENDENTE")))</f>
        <v/>
      </c>
    </row>
    <row r="148">
      <c r="A148" t="n">
        <v>147</v>
      </c>
      <c r="C148" s="25" t="n"/>
      <c r="F148" s="26" t="n"/>
      <c r="G148" s="26">
        <f>IF(B148="","",SUMIF(Pagamentos!$B$2:$B$1001,A148,Pagamentos!$D$2:$D$1001))</f>
        <v/>
      </c>
      <c r="H148" s="26">
        <f>IF(B148="","",MAX(F148-G148,0))</f>
        <v/>
      </c>
      <c r="I148">
        <f>IF(B148="","",IF(H148&lt;=0,"PAGO",IF(G148&gt;0,"PARCIAL","PENDENTE")))</f>
        <v/>
      </c>
    </row>
    <row r="149">
      <c r="A149" t="n">
        <v>148</v>
      </c>
      <c r="C149" s="25" t="n"/>
      <c r="F149" s="26" t="n"/>
      <c r="G149" s="26">
        <f>IF(B149="","",SUMIF(Pagamentos!$B$2:$B$1001,A149,Pagamentos!$D$2:$D$1001))</f>
        <v/>
      </c>
      <c r="H149" s="26">
        <f>IF(B149="","",MAX(F149-G149,0))</f>
        <v/>
      </c>
      <c r="I149">
        <f>IF(B149="","",IF(H149&lt;=0,"PAGO",IF(G149&gt;0,"PARCIAL","PENDENTE")))</f>
        <v/>
      </c>
    </row>
    <row r="150">
      <c r="A150" t="n">
        <v>149</v>
      </c>
      <c r="C150" s="25" t="n"/>
      <c r="F150" s="26" t="n"/>
      <c r="G150" s="26">
        <f>IF(B150="","",SUMIF(Pagamentos!$B$2:$B$1001,A150,Pagamentos!$D$2:$D$1001))</f>
        <v/>
      </c>
      <c r="H150" s="26">
        <f>IF(B150="","",MAX(F150-G150,0))</f>
        <v/>
      </c>
      <c r="I150">
        <f>IF(B150="","",IF(H150&lt;=0,"PAGO",IF(G150&gt;0,"PARCIAL","PENDENTE")))</f>
        <v/>
      </c>
    </row>
    <row r="151">
      <c r="A151" t="n">
        <v>150</v>
      </c>
      <c r="C151" s="25" t="n"/>
      <c r="F151" s="26" t="n"/>
      <c r="G151" s="26">
        <f>IF(B151="","",SUMIF(Pagamentos!$B$2:$B$1001,A151,Pagamentos!$D$2:$D$1001))</f>
        <v/>
      </c>
      <c r="H151" s="26">
        <f>IF(B151="","",MAX(F151-G151,0))</f>
        <v/>
      </c>
      <c r="I151">
        <f>IF(B151="","",IF(H151&lt;=0,"PAGO",IF(G151&gt;0,"PARCIAL","PENDENTE")))</f>
        <v/>
      </c>
    </row>
    <row r="152">
      <c r="A152" t="n">
        <v>151</v>
      </c>
      <c r="C152" s="25" t="n"/>
      <c r="F152" s="26" t="n"/>
      <c r="G152" s="26">
        <f>IF(B152="","",SUMIF(Pagamentos!$B$2:$B$1001,A152,Pagamentos!$D$2:$D$1001))</f>
        <v/>
      </c>
      <c r="H152" s="26">
        <f>IF(B152="","",MAX(F152-G152,0))</f>
        <v/>
      </c>
      <c r="I152">
        <f>IF(B152="","",IF(H152&lt;=0,"PAGO",IF(G152&gt;0,"PARCIAL","PENDENTE")))</f>
        <v/>
      </c>
    </row>
    <row r="153">
      <c r="A153" t="n">
        <v>152</v>
      </c>
      <c r="C153" s="25" t="n"/>
      <c r="F153" s="26" t="n"/>
      <c r="G153" s="26">
        <f>IF(B153="","",SUMIF(Pagamentos!$B$2:$B$1001,A153,Pagamentos!$D$2:$D$1001))</f>
        <v/>
      </c>
      <c r="H153" s="26">
        <f>IF(B153="","",MAX(F153-G153,0))</f>
        <v/>
      </c>
      <c r="I153">
        <f>IF(B153="","",IF(H153&lt;=0,"PAGO",IF(G153&gt;0,"PARCIAL","PENDENTE")))</f>
        <v/>
      </c>
    </row>
    <row r="154">
      <c r="A154" t="n">
        <v>153</v>
      </c>
      <c r="C154" s="25" t="n"/>
      <c r="F154" s="26" t="n"/>
      <c r="G154" s="26">
        <f>IF(B154="","",SUMIF(Pagamentos!$B$2:$B$1001,A154,Pagamentos!$D$2:$D$1001))</f>
        <v/>
      </c>
      <c r="H154" s="26">
        <f>IF(B154="","",MAX(F154-G154,0))</f>
        <v/>
      </c>
      <c r="I154">
        <f>IF(B154="","",IF(H154&lt;=0,"PAGO",IF(G154&gt;0,"PARCIAL","PENDENTE")))</f>
        <v/>
      </c>
    </row>
    <row r="155">
      <c r="A155" t="n">
        <v>154</v>
      </c>
      <c r="C155" s="25" t="n"/>
      <c r="F155" s="26" t="n"/>
      <c r="G155" s="26">
        <f>IF(B155="","",SUMIF(Pagamentos!$B$2:$B$1001,A155,Pagamentos!$D$2:$D$1001))</f>
        <v/>
      </c>
      <c r="H155" s="26">
        <f>IF(B155="","",MAX(F155-G155,0))</f>
        <v/>
      </c>
      <c r="I155">
        <f>IF(B155="","",IF(H155&lt;=0,"PAGO",IF(G155&gt;0,"PARCIAL","PENDENTE")))</f>
        <v/>
      </c>
    </row>
    <row r="156">
      <c r="A156" t="n">
        <v>155</v>
      </c>
      <c r="C156" s="25" t="n"/>
      <c r="F156" s="26" t="n"/>
      <c r="G156" s="26">
        <f>IF(B156="","",SUMIF(Pagamentos!$B$2:$B$1001,A156,Pagamentos!$D$2:$D$1001))</f>
        <v/>
      </c>
      <c r="H156" s="26">
        <f>IF(B156="","",MAX(F156-G156,0))</f>
        <v/>
      </c>
      <c r="I156">
        <f>IF(B156="","",IF(H156&lt;=0,"PAGO",IF(G156&gt;0,"PARCIAL","PENDENTE")))</f>
        <v/>
      </c>
    </row>
    <row r="157">
      <c r="A157" t="n">
        <v>156</v>
      </c>
      <c r="C157" s="25" t="n"/>
      <c r="F157" s="26" t="n"/>
      <c r="G157" s="26">
        <f>IF(B157="","",SUMIF(Pagamentos!$B$2:$B$1001,A157,Pagamentos!$D$2:$D$1001))</f>
        <v/>
      </c>
      <c r="H157" s="26">
        <f>IF(B157="","",MAX(F157-G157,0))</f>
        <v/>
      </c>
      <c r="I157">
        <f>IF(B157="","",IF(H157&lt;=0,"PAGO",IF(G157&gt;0,"PARCIAL","PENDENTE")))</f>
        <v/>
      </c>
    </row>
    <row r="158">
      <c r="A158" t="n">
        <v>157</v>
      </c>
      <c r="C158" s="25" t="n"/>
      <c r="F158" s="26" t="n"/>
      <c r="G158" s="26">
        <f>IF(B158="","",SUMIF(Pagamentos!$B$2:$B$1001,A158,Pagamentos!$D$2:$D$1001))</f>
        <v/>
      </c>
      <c r="H158" s="26">
        <f>IF(B158="","",MAX(F158-G158,0))</f>
        <v/>
      </c>
      <c r="I158">
        <f>IF(B158="","",IF(H158&lt;=0,"PAGO",IF(G158&gt;0,"PARCIAL","PENDENTE")))</f>
        <v/>
      </c>
    </row>
    <row r="159">
      <c r="A159" t="n">
        <v>158</v>
      </c>
      <c r="C159" s="25" t="n"/>
      <c r="F159" s="26" t="n"/>
      <c r="G159" s="26">
        <f>IF(B159="","",SUMIF(Pagamentos!$B$2:$B$1001,A159,Pagamentos!$D$2:$D$1001))</f>
        <v/>
      </c>
      <c r="H159" s="26">
        <f>IF(B159="","",MAX(F159-G159,0))</f>
        <v/>
      </c>
      <c r="I159">
        <f>IF(B159="","",IF(H159&lt;=0,"PAGO",IF(G159&gt;0,"PARCIAL","PENDENTE")))</f>
        <v/>
      </c>
    </row>
    <row r="160">
      <c r="A160" t="n">
        <v>159</v>
      </c>
      <c r="C160" s="25" t="n"/>
      <c r="F160" s="26" t="n"/>
      <c r="G160" s="26">
        <f>IF(B160="","",SUMIF(Pagamentos!$B$2:$B$1001,A160,Pagamentos!$D$2:$D$1001))</f>
        <v/>
      </c>
      <c r="H160" s="26">
        <f>IF(B160="","",MAX(F160-G160,0))</f>
        <v/>
      </c>
      <c r="I160">
        <f>IF(B160="","",IF(H160&lt;=0,"PAGO",IF(G160&gt;0,"PARCIAL","PENDENTE")))</f>
        <v/>
      </c>
    </row>
    <row r="161">
      <c r="A161" t="n">
        <v>160</v>
      </c>
      <c r="C161" s="25" t="n"/>
      <c r="F161" s="26" t="n"/>
      <c r="G161" s="26">
        <f>IF(B161="","",SUMIF(Pagamentos!$B$2:$B$1001,A161,Pagamentos!$D$2:$D$1001))</f>
        <v/>
      </c>
      <c r="H161" s="26">
        <f>IF(B161="","",MAX(F161-G161,0))</f>
        <v/>
      </c>
      <c r="I161">
        <f>IF(B161="","",IF(H161&lt;=0,"PAGO",IF(G161&gt;0,"PARCIAL","PENDENTE")))</f>
        <v/>
      </c>
    </row>
    <row r="162">
      <c r="A162" t="n">
        <v>161</v>
      </c>
      <c r="C162" s="25" t="n"/>
      <c r="F162" s="26" t="n"/>
      <c r="G162" s="26">
        <f>IF(B162="","",SUMIF(Pagamentos!$B$2:$B$1001,A162,Pagamentos!$D$2:$D$1001))</f>
        <v/>
      </c>
      <c r="H162" s="26">
        <f>IF(B162="","",MAX(F162-G162,0))</f>
        <v/>
      </c>
      <c r="I162">
        <f>IF(B162="","",IF(H162&lt;=0,"PAGO",IF(G162&gt;0,"PARCIAL","PENDENTE")))</f>
        <v/>
      </c>
    </row>
    <row r="163">
      <c r="A163" t="n">
        <v>162</v>
      </c>
      <c r="C163" s="25" t="n"/>
      <c r="F163" s="26" t="n"/>
      <c r="G163" s="26">
        <f>IF(B163="","",SUMIF(Pagamentos!$B$2:$B$1001,A163,Pagamentos!$D$2:$D$1001))</f>
        <v/>
      </c>
      <c r="H163" s="26">
        <f>IF(B163="","",MAX(F163-G163,0))</f>
        <v/>
      </c>
      <c r="I163">
        <f>IF(B163="","",IF(H163&lt;=0,"PAGO",IF(G163&gt;0,"PARCIAL","PENDENTE")))</f>
        <v/>
      </c>
    </row>
    <row r="164">
      <c r="A164" t="n">
        <v>163</v>
      </c>
      <c r="C164" s="25" t="n"/>
      <c r="F164" s="26" t="n"/>
      <c r="G164" s="26">
        <f>IF(B164="","",SUMIF(Pagamentos!$B$2:$B$1001,A164,Pagamentos!$D$2:$D$1001))</f>
        <v/>
      </c>
      <c r="H164" s="26">
        <f>IF(B164="","",MAX(F164-G164,0))</f>
        <v/>
      </c>
      <c r="I164">
        <f>IF(B164="","",IF(H164&lt;=0,"PAGO",IF(G164&gt;0,"PARCIAL","PENDENTE")))</f>
        <v/>
      </c>
    </row>
    <row r="165">
      <c r="A165" t="n">
        <v>164</v>
      </c>
      <c r="C165" s="25" t="n"/>
      <c r="F165" s="26" t="n"/>
      <c r="G165" s="26">
        <f>IF(B165="","",SUMIF(Pagamentos!$B$2:$B$1001,A165,Pagamentos!$D$2:$D$1001))</f>
        <v/>
      </c>
      <c r="H165" s="26">
        <f>IF(B165="","",MAX(F165-G165,0))</f>
        <v/>
      </c>
      <c r="I165">
        <f>IF(B165="","",IF(H165&lt;=0,"PAGO",IF(G165&gt;0,"PARCIAL","PENDENTE")))</f>
        <v/>
      </c>
    </row>
    <row r="166">
      <c r="A166" t="n">
        <v>165</v>
      </c>
      <c r="C166" s="25" t="n"/>
      <c r="F166" s="26" t="n"/>
      <c r="G166" s="26">
        <f>IF(B166="","",SUMIF(Pagamentos!$B$2:$B$1001,A166,Pagamentos!$D$2:$D$1001))</f>
        <v/>
      </c>
      <c r="H166" s="26">
        <f>IF(B166="","",MAX(F166-G166,0))</f>
        <v/>
      </c>
      <c r="I166">
        <f>IF(B166="","",IF(H166&lt;=0,"PAGO",IF(G166&gt;0,"PARCIAL","PENDENTE")))</f>
        <v/>
      </c>
    </row>
    <row r="167">
      <c r="A167" t="n">
        <v>166</v>
      </c>
      <c r="C167" s="25" t="n"/>
      <c r="F167" s="26" t="n"/>
      <c r="G167" s="26">
        <f>IF(B167="","",SUMIF(Pagamentos!$B$2:$B$1001,A167,Pagamentos!$D$2:$D$1001))</f>
        <v/>
      </c>
      <c r="H167" s="26">
        <f>IF(B167="","",MAX(F167-G167,0))</f>
        <v/>
      </c>
      <c r="I167">
        <f>IF(B167="","",IF(H167&lt;=0,"PAGO",IF(G167&gt;0,"PARCIAL","PENDENTE")))</f>
        <v/>
      </c>
    </row>
    <row r="168">
      <c r="A168" t="n">
        <v>167</v>
      </c>
      <c r="C168" s="25" t="n"/>
      <c r="F168" s="26" t="n"/>
      <c r="G168" s="26">
        <f>IF(B168="","",SUMIF(Pagamentos!$B$2:$B$1001,A168,Pagamentos!$D$2:$D$1001))</f>
        <v/>
      </c>
      <c r="H168" s="26">
        <f>IF(B168="","",MAX(F168-G168,0))</f>
        <v/>
      </c>
      <c r="I168">
        <f>IF(B168="","",IF(H168&lt;=0,"PAGO",IF(G168&gt;0,"PARCIAL","PENDENTE")))</f>
        <v/>
      </c>
    </row>
    <row r="169">
      <c r="A169" t="n">
        <v>168</v>
      </c>
      <c r="C169" s="25" t="n"/>
      <c r="F169" s="26" t="n"/>
      <c r="G169" s="26">
        <f>IF(B169="","",SUMIF(Pagamentos!$B$2:$B$1001,A169,Pagamentos!$D$2:$D$1001))</f>
        <v/>
      </c>
      <c r="H169" s="26">
        <f>IF(B169="","",MAX(F169-G169,0))</f>
        <v/>
      </c>
      <c r="I169">
        <f>IF(B169="","",IF(H169&lt;=0,"PAGO",IF(G169&gt;0,"PARCIAL","PENDENTE")))</f>
        <v/>
      </c>
    </row>
    <row r="170">
      <c r="A170" t="n">
        <v>169</v>
      </c>
      <c r="C170" s="25" t="n"/>
      <c r="F170" s="26" t="n"/>
      <c r="G170" s="26">
        <f>IF(B170="","",SUMIF(Pagamentos!$B$2:$B$1001,A170,Pagamentos!$D$2:$D$1001))</f>
        <v/>
      </c>
      <c r="H170" s="26">
        <f>IF(B170="","",MAX(F170-G170,0))</f>
        <v/>
      </c>
      <c r="I170">
        <f>IF(B170="","",IF(H170&lt;=0,"PAGO",IF(G170&gt;0,"PARCIAL","PENDENTE")))</f>
        <v/>
      </c>
    </row>
    <row r="171">
      <c r="A171" t="n">
        <v>170</v>
      </c>
      <c r="C171" s="25" t="n"/>
      <c r="F171" s="26" t="n"/>
      <c r="G171" s="26">
        <f>IF(B171="","",SUMIF(Pagamentos!$B$2:$B$1001,A171,Pagamentos!$D$2:$D$1001))</f>
        <v/>
      </c>
      <c r="H171" s="26">
        <f>IF(B171="","",MAX(F171-G171,0))</f>
        <v/>
      </c>
      <c r="I171">
        <f>IF(B171="","",IF(H171&lt;=0,"PAGO",IF(G171&gt;0,"PARCIAL","PENDENTE")))</f>
        <v/>
      </c>
    </row>
    <row r="172">
      <c r="A172" t="n">
        <v>171</v>
      </c>
      <c r="C172" s="25" t="n"/>
      <c r="F172" s="26" t="n"/>
      <c r="G172" s="26">
        <f>IF(B172="","",SUMIF(Pagamentos!$B$2:$B$1001,A172,Pagamentos!$D$2:$D$1001))</f>
        <v/>
      </c>
      <c r="H172" s="26">
        <f>IF(B172="","",MAX(F172-G172,0))</f>
        <v/>
      </c>
      <c r="I172">
        <f>IF(B172="","",IF(H172&lt;=0,"PAGO",IF(G172&gt;0,"PARCIAL","PENDENTE")))</f>
        <v/>
      </c>
    </row>
    <row r="173">
      <c r="A173" t="n">
        <v>172</v>
      </c>
      <c r="C173" s="25" t="n"/>
      <c r="F173" s="26" t="n"/>
      <c r="G173" s="26">
        <f>IF(B173="","",SUMIF(Pagamentos!$B$2:$B$1001,A173,Pagamentos!$D$2:$D$1001))</f>
        <v/>
      </c>
      <c r="H173" s="26">
        <f>IF(B173="","",MAX(F173-G173,0))</f>
        <v/>
      </c>
      <c r="I173">
        <f>IF(B173="","",IF(H173&lt;=0,"PAGO",IF(G173&gt;0,"PARCIAL","PENDENTE")))</f>
        <v/>
      </c>
    </row>
    <row r="174">
      <c r="A174" t="n">
        <v>173</v>
      </c>
      <c r="C174" s="25" t="n"/>
      <c r="F174" s="26" t="n"/>
      <c r="G174" s="26">
        <f>IF(B174="","",SUMIF(Pagamentos!$B$2:$B$1001,A174,Pagamentos!$D$2:$D$1001))</f>
        <v/>
      </c>
      <c r="H174" s="26">
        <f>IF(B174="","",MAX(F174-G174,0))</f>
        <v/>
      </c>
      <c r="I174">
        <f>IF(B174="","",IF(H174&lt;=0,"PAGO",IF(G174&gt;0,"PARCIAL","PENDENTE")))</f>
        <v/>
      </c>
    </row>
    <row r="175">
      <c r="A175" t="n">
        <v>174</v>
      </c>
      <c r="C175" s="25" t="n"/>
      <c r="F175" s="26" t="n"/>
      <c r="G175" s="26">
        <f>IF(B175="","",SUMIF(Pagamentos!$B$2:$B$1001,A175,Pagamentos!$D$2:$D$1001))</f>
        <v/>
      </c>
      <c r="H175" s="26">
        <f>IF(B175="","",MAX(F175-G175,0))</f>
        <v/>
      </c>
      <c r="I175">
        <f>IF(B175="","",IF(H175&lt;=0,"PAGO",IF(G175&gt;0,"PARCIAL","PENDENTE")))</f>
        <v/>
      </c>
    </row>
    <row r="176">
      <c r="A176" t="n">
        <v>175</v>
      </c>
      <c r="C176" s="25" t="n"/>
      <c r="F176" s="26" t="n"/>
      <c r="G176" s="26">
        <f>IF(B176="","",SUMIF(Pagamentos!$B$2:$B$1001,A176,Pagamentos!$D$2:$D$1001))</f>
        <v/>
      </c>
      <c r="H176" s="26">
        <f>IF(B176="","",MAX(F176-G176,0))</f>
        <v/>
      </c>
      <c r="I176">
        <f>IF(B176="","",IF(H176&lt;=0,"PAGO",IF(G176&gt;0,"PARCIAL","PENDENTE")))</f>
        <v/>
      </c>
    </row>
    <row r="177">
      <c r="A177" t="n">
        <v>176</v>
      </c>
      <c r="C177" s="25" t="n"/>
      <c r="F177" s="26" t="n"/>
      <c r="G177" s="26">
        <f>IF(B177="","",SUMIF(Pagamentos!$B$2:$B$1001,A177,Pagamentos!$D$2:$D$1001))</f>
        <v/>
      </c>
      <c r="H177" s="26">
        <f>IF(B177="","",MAX(F177-G177,0))</f>
        <v/>
      </c>
      <c r="I177">
        <f>IF(B177="","",IF(H177&lt;=0,"PAGO",IF(G177&gt;0,"PARCIAL","PENDENTE")))</f>
        <v/>
      </c>
    </row>
    <row r="178">
      <c r="A178" t="n">
        <v>177</v>
      </c>
      <c r="C178" s="25" t="n"/>
      <c r="F178" s="26" t="n"/>
      <c r="G178" s="26">
        <f>IF(B178="","",SUMIF(Pagamentos!$B$2:$B$1001,A178,Pagamentos!$D$2:$D$1001))</f>
        <v/>
      </c>
      <c r="H178" s="26">
        <f>IF(B178="","",MAX(F178-G178,0))</f>
        <v/>
      </c>
      <c r="I178">
        <f>IF(B178="","",IF(H178&lt;=0,"PAGO",IF(G178&gt;0,"PARCIAL","PENDENTE")))</f>
        <v/>
      </c>
    </row>
    <row r="179">
      <c r="A179" t="n">
        <v>178</v>
      </c>
      <c r="C179" s="25" t="n"/>
      <c r="F179" s="26" t="n"/>
      <c r="G179" s="26">
        <f>IF(B179="","",SUMIF(Pagamentos!$B$2:$B$1001,A179,Pagamentos!$D$2:$D$1001))</f>
        <v/>
      </c>
      <c r="H179" s="26">
        <f>IF(B179="","",MAX(F179-G179,0))</f>
        <v/>
      </c>
      <c r="I179">
        <f>IF(B179="","",IF(H179&lt;=0,"PAGO",IF(G179&gt;0,"PARCIAL","PENDENTE")))</f>
        <v/>
      </c>
    </row>
    <row r="180">
      <c r="A180" t="n">
        <v>179</v>
      </c>
      <c r="C180" s="25" t="n"/>
      <c r="F180" s="26" t="n"/>
      <c r="G180" s="26">
        <f>IF(B180="","",SUMIF(Pagamentos!$B$2:$B$1001,A180,Pagamentos!$D$2:$D$1001))</f>
        <v/>
      </c>
      <c r="H180" s="26">
        <f>IF(B180="","",MAX(F180-G180,0))</f>
        <v/>
      </c>
      <c r="I180">
        <f>IF(B180="","",IF(H180&lt;=0,"PAGO",IF(G180&gt;0,"PARCIAL","PENDENTE")))</f>
        <v/>
      </c>
    </row>
    <row r="181">
      <c r="A181" t="n">
        <v>180</v>
      </c>
      <c r="C181" s="25" t="n"/>
      <c r="F181" s="26" t="n"/>
      <c r="G181" s="26">
        <f>IF(B181="","",SUMIF(Pagamentos!$B$2:$B$1001,A181,Pagamentos!$D$2:$D$1001))</f>
        <v/>
      </c>
      <c r="H181" s="26">
        <f>IF(B181="","",MAX(F181-G181,0))</f>
        <v/>
      </c>
      <c r="I181">
        <f>IF(B181="","",IF(H181&lt;=0,"PAGO",IF(G181&gt;0,"PARCIAL","PENDENTE")))</f>
        <v/>
      </c>
    </row>
    <row r="182">
      <c r="A182" t="n">
        <v>181</v>
      </c>
      <c r="C182" s="25" t="n"/>
      <c r="F182" s="26" t="n"/>
      <c r="G182" s="26">
        <f>IF(B182="","",SUMIF(Pagamentos!$B$2:$B$1001,A182,Pagamentos!$D$2:$D$1001))</f>
        <v/>
      </c>
      <c r="H182" s="26">
        <f>IF(B182="","",MAX(F182-G182,0))</f>
        <v/>
      </c>
      <c r="I182">
        <f>IF(B182="","",IF(H182&lt;=0,"PAGO",IF(G182&gt;0,"PARCIAL","PENDENTE")))</f>
        <v/>
      </c>
    </row>
    <row r="183">
      <c r="A183" t="n">
        <v>182</v>
      </c>
      <c r="C183" s="25" t="n"/>
      <c r="F183" s="26" t="n"/>
      <c r="G183" s="26">
        <f>IF(B183="","",SUMIF(Pagamentos!$B$2:$B$1001,A183,Pagamentos!$D$2:$D$1001))</f>
        <v/>
      </c>
      <c r="H183" s="26">
        <f>IF(B183="","",MAX(F183-G183,0))</f>
        <v/>
      </c>
      <c r="I183">
        <f>IF(B183="","",IF(H183&lt;=0,"PAGO",IF(G183&gt;0,"PARCIAL","PENDENTE")))</f>
        <v/>
      </c>
    </row>
    <row r="184">
      <c r="A184" t="n">
        <v>183</v>
      </c>
      <c r="C184" s="25" t="n"/>
      <c r="F184" s="26" t="n"/>
      <c r="G184" s="26">
        <f>IF(B184="","",SUMIF(Pagamentos!$B$2:$B$1001,A184,Pagamentos!$D$2:$D$1001))</f>
        <v/>
      </c>
      <c r="H184" s="26">
        <f>IF(B184="","",MAX(F184-G184,0))</f>
        <v/>
      </c>
      <c r="I184">
        <f>IF(B184="","",IF(H184&lt;=0,"PAGO",IF(G184&gt;0,"PARCIAL","PENDENTE")))</f>
        <v/>
      </c>
    </row>
    <row r="185">
      <c r="A185" t="n">
        <v>184</v>
      </c>
      <c r="C185" s="25" t="n"/>
      <c r="F185" s="26" t="n"/>
      <c r="G185" s="26">
        <f>IF(B185="","",SUMIF(Pagamentos!$B$2:$B$1001,A185,Pagamentos!$D$2:$D$1001))</f>
        <v/>
      </c>
      <c r="H185" s="26">
        <f>IF(B185="","",MAX(F185-G185,0))</f>
        <v/>
      </c>
      <c r="I185">
        <f>IF(B185="","",IF(H185&lt;=0,"PAGO",IF(G185&gt;0,"PARCIAL","PENDENTE")))</f>
        <v/>
      </c>
    </row>
    <row r="186">
      <c r="A186" t="n">
        <v>185</v>
      </c>
      <c r="C186" s="25" t="n"/>
      <c r="F186" s="26" t="n"/>
      <c r="G186" s="26">
        <f>IF(B186="","",SUMIF(Pagamentos!$B$2:$B$1001,A186,Pagamentos!$D$2:$D$1001))</f>
        <v/>
      </c>
      <c r="H186" s="26">
        <f>IF(B186="","",MAX(F186-G186,0))</f>
        <v/>
      </c>
      <c r="I186">
        <f>IF(B186="","",IF(H186&lt;=0,"PAGO",IF(G186&gt;0,"PARCIAL","PENDENTE")))</f>
        <v/>
      </c>
    </row>
    <row r="187">
      <c r="A187" t="n">
        <v>186</v>
      </c>
      <c r="C187" s="25" t="n"/>
      <c r="F187" s="26" t="n"/>
      <c r="G187" s="26">
        <f>IF(B187="","",SUMIF(Pagamentos!$B$2:$B$1001,A187,Pagamentos!$D$2:$D$1001))</f>
        <v/>
      </c>
      <c r="H187" s="26">
        <f>IF(B187="","",MAX(F187-G187,0))</f>
        <v/>
      </c>
      <c r="I187">
        <f>IF(B187="","",IF(H187&lt;=0,"PAGO",IF(G187&gt;0,"PARCIAL","PENDENTE")))</f>
        <v/>
      </c>
    </row>
    <row r="188">
      <c r="A188" t="n">
        <v>187</v>
      </c>
      <c r="C188" s="25" t="n"/>
      <c r="F188" s="26" t="n"/>
      <c r="G188" s="26">
        <f>IF(B188="","",SUMIF(Pagamentos!$B$2:$B$1001,A188,Pagamentos!$D$2:$D$1001))</f>
        <v/>
      </c>
      <c r="H188" s="26">
        <f>IF(B188="","",MAX(F188-G188,0))</f>
        <v/>
      </c>
      <c r="I188">
        <f>IF(B188="","",IF(H188&lt;=0,"PAGO",IF(G188&gt;0,"PARCIAL","PENDENTE")))</f>
        <v/>
      </c>
    </row>
    <row r="189">
      <c r="A189" t="n">
        <v>188</v>
      </c>
      <c r="C189" s="25" t="n"/>
      <c r="F189" s="26" t="n"/>
      <c r="G189" s="26">
        <f>IF(B189="","",SUMIF(Pagamentos!$B$2:$B$1001,A189,Pagamentos!$D$2:$D$1001))</f>
        <v/>
      </c>
      <c r="H189" s="26">
        <f>IF(B189="","",MAX(F189-G189,0))</f>
        <v/>
      </c>
      <c r="I189">
        <f>IF(B189="","",IF(H189&lt;=0,"PAGO",IF(G189&gt;0,"PARCIAL","PENDENTE")))</f>
        <v/>
      </c>
    </row>
    <row r="190">
      <c r="A190" t="n">
        <v>189</v>
      </c>
      <c r="C190" s="25" t="n"/>
      <c r="F190" s="26" t="n"/>
      <c r="G190" s="26">
        <f>IF(B190="","",SUMIF(Pagamentos!$B$2:$B$1001,A190,Pagamentos!$D$2:$D$1001))</f>
        <v/>
      </c>
      <c r="H190" s="26">
        <f>IF(B190="","",MAX(F190-G190,0))</f>
        <v/>
      </c>
      <c r="I190">
        <f>IF(B190="","",IF(H190&lt;=0,"PAGO",IF(G190&gt;0,"PARCIAL","PENDENTE")))</f>
        <v/>
      </c>
    </row>
    <row r="191">
      <c r="A191" t="n">
        <v>190</v>
      </c>
      <c r="C191" s="25" t="n"/>
      <c r="F191" s="26" t="n"/>
      <c r="G191" s="26">
        <f>IF(B191="","",SUMIF(Pagamentos!$B$2:$B$1001,A191,Pagamentos!$D$2:$D$1001))</f>
        <v/>
      </c>
      <c r="H191" s="26">
        <f>IF(B191="","",MAX(F191-G191,0))</f>
        <v/>
      </c>
      <c r="I191">
        <f>IF(B191="","",IF(H191&lt;=0,"PAGO",IF(G191&gt;0,"PARCIAL","PENDENTE")))</f>
        <v/>
      </c>
    </row>
    <row r="192">
      <c r="A192" t="n">
        <v>191</v>
      </c>
      <c r="C192" s="25" t="n"/>
      <c r="F192" s="26" t="n"/>
      <c r="G192" s="26">
        <f>IF(B192="","",SUMIF(Pagamentos!$B$2:$B$1001,A192,Pagamentos!$D$2:$D$1001))</f>
        <v/>
      </c>
      <c r="H192" s="26">
        <f>IF(B192="","",MAX(F192-G192,0))</f>
        <v/>
      </c>
      <c r="I192">
        <f>IF(B192="","",IF(H192&lt;=0,"PAGO",IF(G192&gt;0,"PARCIAL","PENDENTE")))</f>
        <v/>
      </c>
    </row>
    <row r="193">
      <c r="A193" t="n">
        <v>192</v>
      </c>
      <c r="C193" s="25" t="n"/>
      <c r="F193" s="26" t="n"/>
      <c r="G193" s="26">
        <f>IF(B193="","",SUMIF(Pagamentos!$B$2:$B$1001,A193,Pagamentos!$D$2:$D$1001))</f>
        <v/>
      </c>
      <c r="H193" s="26">
        <f>IF(B193="","",MAX(F193-G193,0))</f>
        <v/>
      </c>
      <c r="I193">
        <f>IF(B193="","",IF(H193&lt;=0,"PAGO",IF(G193&gt;0,"PARCIAL","PENDENTE")))</f>
        <v/>
      </c>
    </row>
    <row r="194">
      <c r="A194" t="n">
        <v>193</v>
      </c>
      <c r="C194" s="25" t="n"/>
      <c r="F194" s="26" t="n"/>
      <c r="G194" s="26">
        <f>IF(B194="","",SUMIF(Pagamentos!$B$2:$B$1001,A194,Pagamentos!$D$2:$D$1001))</f>
        <v/>
      </c>
      <c r="H194" s="26">
        <f>IF(B194="","",MAX(F194-G194,0))</f>
        <v/>
      </c>
      <c r="I194">
        <f>IF(B194="","",IF(H194&lt;=0,"PAGO",IF(G194&gt;0,"PARCIAL","PENDENTE")))</f>
        <v/>
      </c>
    </row>
    <row r="195">
      <c r="A195" t="n">
        <v>194</v>
      </c>
      <c r="C195" s="25" t="n"/>
      <c r="F195" s="26" t="n"/>
      <c r="G195" s="26">
        <f>IF(B195="","",SUMIF(Pagamentos!$B$2:$B$1001,A195,Pagamentos!$D$2:$D$1001))</f>
        <v/>
      </c>
      <c r="H195" s="26">
        <f>IF(B195="","",MAX(F195-G195,0))</f>
        <v/>
      </c>
      <c r="I195">
        <f>IF(B195="","",IF(H195&lt;=0,"PAGO",IF(G195&gt;0,"PARCIAL","PENDENTE")))</f>
        <v/>
      </c>
    </row>
    <row r="196">
      <c r="A196" t="n">
        <v>195</v>
      </c>
      <c r="C196" s="25" t="n"/>
      <c r="F196" s="26" t="n"/>
      <c r="G196" s="26">
        <f>IF(B196="","",SUMIF(Pagamentos!$B$2:$B$1001,A196,Pagamentos!$D$2:$D$1001))</f>
        <v/>
      </c>
      <c r="H196" s="26">
        <f>IF(B196="","",MAX(F196-G196,0))</f>
        <v/>
      </c>
      <c r="I196">
        <f>IF(B196="","",IF(H196&lt;=0,"PAGO",IF(G196&gt;0,"PARCIAL","PENDENTE")))</f>
        <v/>
      </c>
    </row>
    <row r="197">
      <c r="A197" t="n">
        <v>196</v>
      </c>
      <c r="C197" s="25" t="n"/>
      <c r="F197" s="26" t="n"/>
      <c r="G197" s="26">
        <f>IF(B197="","",SUMIF(Pagamentos!$B$2:$B$1001,A197,Pagamentos!$D$2:$D$1001))</f>
        <v/>
      </c>
      <c r="H197" s="26">
        <f>IF(B197="","",MAX(F197-G197,0))</f>
        <v/>
      </c>
      <c r="I197">
        <f>IF(B197="","",IF(H197&lt;=0,"PAGO",IF(G197&gt;0,"PARCIAL","PENDENTE")))</f>
        <v/>
      </c>
    </row>
    <row r="198">
      <c r="A198" t="n">
        <v>197</v>
      </c>
      <c r="C198" s="25" t="n"/>
      <c r="F198" s="26" t="n"/>
      <c r="G198" s="26">
        <f>IF(B198="","",SUMIF(Pagamentos!$B$2:$B$1001,A198,Pagamentos!$D$2:$D$1001))</f>
        <v/>
      </c>
      <c r="H198" s="26">
        <f>IF(B198="","",MAX(F198-G198,0))</f>
        <v/>
      </c>
      <c r="I198">
        <f>IF(B198="","",IF(H198&lt;=0,"PAGO",IF(G198&gt;0,"PARCIAL","PENDENTE")))</f>
        <v/>
      </c>
    </row>
    <row r="199">
      <c r="A199" t="n">
        <v>198</v>
      </c>
      <c r="C199" s="25" t="n"/>
      <c r="F199" s="26" t="n"/>
      <c r="G199" s="26">
        <f>IF(B199="","",SUMIF(Pagamentos!$B$2:$B$1001,A199,Pagamentos!$D$2:$D$1001))</f>
        <v/>
      </c>
      <c r="H199" s="26">
        <f>IF(B199="","",MAX(F199-G199,0))</f>
        <v/>
      </c>
      <c r="I199">
        <f>IF(B199="","",IF(H199&lt;=0,"PAGO",IF(G199&gt;0,"PARCIAL","PENDENTE")))</f>
        <v/>
      </c>
    </row>
    <row r="200">
      <c r="A200" t="n">
        <v>199</v>
      </c>
      <c r="C200" s="25" t="n"/>
      <c r="F200" s="26" t="n"/>
      <c r="G200" s="26">
        <f>IF(B200="","",SUMIF(Pagamentos!$B$2:$B$1001,A200,Pagamentos!$D$2:$D$1001))</f>
        <v/>
      </c>
      <c r="H200" s="26">
        <f>IF(B200="","",MAX(F200-G200,0))</f>
        <v/>
      </c>
      <c r="I200">
        <f>IF(B200="","",IF(H200&lt;=0,"PAGO",IF(G200&gt;0,"PARCIAL","PENDENTE")))</f>
        <v/>
      </c>
    </row>
    <row r="201">
      <c r="A201" t="n">
        <v>200</v>
      </c>
      <c r="C201" s="25" t="n"/>
      <c r="F201" s="26" t="n"/>
      <c r="G201" s="26">
        <f>IF(B201="","",SUMIF(Pagamentos!$B$2:$B$1001,A201,Pagamentos!$D$2:$D$1001))</f>
        <v/>
      </c>
      <c r="H201" s="26">
        <f>IF(B201="","",MAX(F201-G201,0))</f>
        <v/>
      </c>
      <c r="I201">
        <f>IF(B201="","",IF(H201&lt;=0,"PAGO",IF(G201&gt;0,"PARCIAL","PENDENTE")))</f>
        <v/>
      </c>
    </row>
    <row r="202">
      <c r="A202" t="n">
        <v>201</v>
      </c>
      <c r="C202" s="25" t="n"/>
      <c r="F202" s="26" t="n"/>
      <c r="G202" s="26">
        <f>IF(B202="","",SUMIF(Pagamentos!$B$2:$B$1001,A202,Pagamentos!$D$2:$D$1001))</f>
        <v/>
      </c>
      <c r="H202" s="26">
        <f>IF(B202="","",MAX(F202-G202,0))</f>
        <v/>
      </c>
      <c r="I202">
        <f>IF(B202="","",IF(H202&lt;=0,"PAGO",IF(G202&gt;0,"PARCIAL","PENDENTE")))</f>
        <v/>
      </c>
    </row>
    <row r="203">
      <c r="A203" t="n">
        <v>202</v>
      </c>
      <c r="C203" s="25" t="n"/>
      <c r="F203" s="26" t="n"/>
      <c r="G203" s="26">
        <f>IF(B203="","",SUMIF(Pagamentos!$B$2:$B$1001,A203,Pagamentos!$D$2:$D$1001))</f>
        <v/>
      </c>
      <c r="H203" s="26">
        <f>IF(B203="","",MAX(F203-G203,0))</f>
        <v/>
      </c>
      <c r="I203">
        <f>IF(B203="","",IF(H203&lt;=0,"PAGO",IF(G203&gt;0,"PARCIAL","PENDENTE")))</f>
        <v/>
      </c>
    </row>
    <row r="204">
      <c r="A204" t="n">
        <v>203</v>
      </c>
      <c r="C204" s="25" t="n"/>
      <c r="F204" s="26" t="n"/>
      <c r="G204" s="26">
        <f>IF(B204="","",SUMIF(Pagamentos!$B$2:$B$1001,A204,Pagamentos!$D$2:$D$1001))</f>
        <v/>
      </c>
      <c r="H204" s="26">
        <f>IF(B204="","",MAX(F204-G204,0))</f>
        <v/>
      </c>
      <c r="I204">
        <f>IF(B204="","",IF(H204&lt;=0,"PAGO",IF(G204&gt;0,"PARCIAL","PENDENTE")))</f>
        <v/>
      </c>
    </row>
    <row r="205">
      <c r="A205" t="n">
        <v>204</v>
      </c>
      <c r="C205" s="25" t="n"/>
      <c r="F205" s="26" t="n"/>
      <c r="G205" s="26">
        <f>IF(B205="","",SUMIF(Pagamentos!$B$2:$B$1001,A205,Pagamentos!$D$2:$D$1001))</f>
        <v/>
      </c>
      <c r="H205" s="26">
        <f>IF(B205="","",MAX(F205-G205,0))</f>
        <v/>
      </c>
      <c r="I205">
        <f>IF(B205="","",IF(H205&lt;=0,"PAGO",IF(G205&gt;0,"PARCIAL","PENDENTE")))</f>
        <v/>
      </c>
    </row>
    <row r="206">
      <c r="A206" t="n">
        <v>205</v>
      </c>
      <c r="C206" s="25" t="n"/>
      <c r="F206" s="26" t="n"/>
      <c r="G206" s="26">
        <f>IF(B206="","",SUMIF(Pagamentos!$B$2:$B$1001,A206,Pagamentos!$D$2:$D$1001))</f>
        <v/>
      </c>
      <c r="H206" s="26">
        <f>IF(B206="","",MAX(F206-G206,0))</f>
        <v/>
      </c>
      <c r="I206">
        <f>IF(B206="","",IF(H206&lt;=0,"PAGO",IF(G206&gt;0,"PARCIAL","PENDENTE")))</f>
        <v/>
      </c>
    </row>
    <row r="207">
      <c r="A207" t="n">
        <v>206</v>
      </c>
      <c r="C207" s="25" t="n"/>
      <c r="F207" s="26" t="n"/>
      <c r="G207" s="26">
        <f>IF(B207="","",SUMIF(Pagamentos!$B$2:$B$1001,A207,Pagamentos!$D$2:$D$1001))</f>
        <v/>
      </c>
      <c r="H207" s="26">
        <f>IF(B207="","",MAX(F207-G207,0))</f>
        <v/>
      </c>
      <c r="I207">
        <f>IF(B207="","",IF(H207&lt;=0,"PAGO",IF(G207&gt;0,"PARCIAL","PENDENTE")))</f>
        <v/>
      </c>
    </row>
    <row r="208">
      <c r="A208" t="n">
        <v>207</v>
      </c>
      <c r="C208" s="25" t="n"/>
      <c r="F208" s="26" t="n"/>
      <c r="G208" s="26">
        <f>IF(B208="","",SUMIF(Pagamentos!$B$2:$B$1001,A208,Pagamentos!$D$2:$D$1001))</f>
        <v/>
      </c>
      <c r="H208" s="26">
        <f>IF(B208="","",MAX(F208-G208,0))</f>
        <v/>
      </c>
      <c r="I208">
        <f>IF(B208="","",IF(H208&lt;=0,"PAGO",IF(G208&gt;0,"PARCIAL","PENDENTE")))</f>
        <v/>
      </c>
    </row>
    <row r="209">
      <c r="A209" t="n">
        <v>208</v>
      </c>
      <c r="C209" s="25" t="n"/>
      <c r="F209" s="26" t="n"/>
      <c r="G209" s="26">
        <f>IF(B209="","",SUMIF(Pagamentos!$B$2:$B$1001,A209,Pagamentos!$D$2:$D$1001))</f>
        <v/>
      </c>
      <c r="H209" s="26">
        <f>IF(B209="","",MAX(F209-G209,0))</f>
        <v/>
      </c>
      <c r="I209">
        <f>IF(B209="","",IF(H209&lt;=0,"PAGO",IF(G209&gt;0,"PARCIAL","PENDENTE")))</f>
        <v/>
      </c>
    </row>
    <row r="210">
      <c r="A210" t="n">
        <v>209</v>
      </c>
      <c r="C210" s="25" t="n"/>
      <c r="F210" s="26" t="n"/>
      <c r="G210" s="26">
        <f>IF(B210="","",SUMIF(Pagamentos!$B$2:$B$1001,A210,Pagamentos!$D$2:$D$1001))</f>
        <v/>
      </c>
      <c r="H210" s="26">
        <f>IF(B210="","",MAX(F210-G210,0))</f>
        <v/>
      </c>
      <c r="I210">
        <f>IF(B210="","",IF(H210&lt;=0,"PAGO",IF(G210&gt;0,"PARCIAL","PENDENTE")))</f>
        <v/>
      </c>
    </row>
    <row r="211">
      <c r="A211" t="n">
        <v>210</v>
      </c>
      <c r="C211" s="25" t="n"/>
      <c r="F211" s="26" t="n"/>
      <c r="G211" s="26">
        <f>IF(B211="","",SUMIF(Pagamentos!$B$2:$B$1001,A211,Pagamentos!$D$2:$D$1001))</f>
        <v/>
      </c>
      <c r="H211" s="26">
        <f>IF(B211="","",MAX(F211-G211,0))</f>
        <v/>
      </c>
      <c r="I211">
        <f>IF(B211="","",IF(H211&lt;=0,"PAGO",IF(G211&gt;0,"PARCIAL","PENDENTE")))</f>
        <v/>
      </c>
    </row>
    <row r="212">
      <c r="A212" t="n">
        <v>211</v>
      </c>
      <c r="C212" s="25" t="n"/>
      <c r="F212" s="26" t="n"/>
      <c r="G212" s="26">
        <f>IF(B212="","",SUMIF(Pagamentos!$B$2:$B$1001,A212,Pagamentos!$D$2:$D$1001))</f>
        <v/>
      </c>
      <c r="H212" s="26">
        <f>IF(B212="","",MAX(F212-G212,0))</f>
        <v/>
      </c>
      <c r="I212">
        <f>IF(B212="","",IF(H212&lt;=0,"PAGO",IF(G212&gt;0,"PARCIAL","PENDENTE")))</f>
        <v/>
      </c>
    </row>
    <row r="213">
      <c r="A213" t="n">
        <v>212</v>
      </c>
      <c r="C213" s="25" t="n"/>
      <c r="F213" s="26" t="n"/>
      <c r="G213" s="26">
        <f>IF(B213="","",SUMIF(Pagamentos!$B$2:$B$1001,A213,Pagamentos!$D$2:$D$1001))</f>
        <v/>
      </c>
      <c r="H213" s="26">
        <f>IF(B213="","",MAX(F213-G213,0))</f>
        <v/>
      </c>
      <c r="I213">
        <f>IF(B213="","",IF(H213&lt;=0,"PAGO",IF(G213&gt;0,"PARCIAL","PENDENTE")))</f>
        <v/>
      </c>
    </row>
    <row r="214">
      <c r="A214" t="n">
        <v>213</v>
      </c>
      <c r="C214" s="25" t="n"/>
      <c r="F214" s="26" t="n"/>
      <c r="G214" s="26">
        <f>IF(B214="","",SUMIF(Pagamentos!$B$2:$B$1001,A214,Pagamentos!$D$2:$D$1001))</f>
        <v/>
      </c>
      <c r="H214" s="26">
        <f>IF(B214="","",MAX(F214-G214,0))</f>
        <v/>
      </c>
      <c r="I214">
        <f>IF(B214="","",IF(H214&lt;=0,"PAGO",IF(G214&gt;0,"PARCIAL","PENDENTE")))</f>
        <v/>
      </c>
    </row>
    <row r="215">
      <c r="A215" t="n">
        <v>214</v>
      </c>
      <c r="C215" s="25" t="n"/>
      <c r="F215" s="26" t="n"/>
      <c r="G215" s="26">
        <f>IF(B215="","",SUMIF(Pagamentos!$B$2:$B$1001,A215,Pagamentos!$D$2:$D$1001))</f>
        <v/>
      </c>
      <c r="H215" s="26">
        <f>IF(B215="","",MAX(F215-G215,0))</f>
        <v/>
      </c>
      <c r="I215">
        <f>IF(B215="","",IF(H215&lt;=0,"PAGO",IF(G215&gt;0,"PARCIAL","PENDENTE")))</f>
        <v/>
      </c>
    </row>
    <row r="216">
      <c r="A216" t="n">
        <v>215</v>
      </c>
      <c r="C216" s="25" t="n"/>
      <c r="F216" s="26" t="n"/>
      <c r="G216" s="26">
        <f>IF(B216="","",SUMIF(Pagamentos!$B$2:$B$1001,A216,Pagamentos!$D$2:$D$1001))</f>
        <v/>
      </c>
      <c r="H216" s="26">
        <f>IF(B216="","",MAX(F216-G216,0))</f>
        <v/>
      </c>
      <c r="I216">
        <f>IF(B216="","",IF(H216&lt;=0,"PAGO",IF(G216&gt;0,"PARCIAL","PENDENTE")))</f>
        <v/>
      </c>
    </row>
    <row r="217">
      <c r="A217" t="n">
        <v>216</v>
      </c>
      <c r="C217" s="25" t="n"/>
      <c r="F217" s="26" t="n"/>
      <c r="G217" s="26">
        <f>IF(B217="","",SUMIF(Pagamentos!$B$2:$B$1001,A217,Pagamentos!$D$2:$D$1001))</f>
        <v/>
      </c>
      <c r="H217" s="26">
        <f>IF(B217="","",MAX(F217-G217,0))</f>
        <v/>
      </c>
      <c r="I217">
        <f>IF(B217="","",IF(H217&lt;=0,"PAGO",IF(G217&gt;0,"PARCIAL","PENDENTE")))</f>
        <v/>
      </c>
    </row>
    <row r="218">
      <c r="A218" t="n">
        <v>217</v>
      </c>
      <c r="C218" s="25" t="n"/>
      <c r="F218" s="26" t="n"/>
      <c r="G218" s="26">
        <f>IF(B218="","",SUMIF(Pagamentos!$B$2:$B$1001,A218,Pagamentos!$D$2:$D$1001))</f>
        <v/>
      </c>
      <c r="H218" s="26">
        <f>IF(B218="","",MAX(F218-G218,0))</f>
        <v/>
      </c>
      <c r="I218">
        <f>IF(B218="","",IF(H218&lt;=0,"PAGO",IF(G218&gt;0,"PARCIAL","PENDENTE")))</f>
        <v/>
      </c>
    </row>
    <row r="219">
      <c r="A219" t="n">
        <v>218</v>
      </c>
      <c r="C219" s="25" t="n"/>
      <c r="F219" s="26" t="n"/>
      <c r="G219" s="26">
        <f>IF(B219="","",SUMIF(Pagamentos!$B$2:$B$1001,A219,Pagamentos!$D$2:$D$1001))</f>
        <v/>
      </c>
      <c r="H219" s="26">
        <f>IF(B219="","",MAX(F219-G219,0))</f>
        <v/>
      </c>
      <c r="I219">
        <f>IF(B219="","",IF(H219&lt;=0,"PAGO",IF(G219&gt;0,"PARCIAL","PENDENTE")))</f>
        <v/>
      </c>
    </row>
    <row r="220">
      <c r="A220" t="n">
        <v>219</v>
      </c>
      <c r="C220" s="25" t="n"/>
      <c r="F220" s="26" t="n"/>
      <c r="G220" s="26">
        <f>IF(B220="","",SUMIF(Pagamentos!$B$2:$B$1001,A220,Pagamentos!$D$2:$D$1001))</f>
        <v/>
      </c>
      <c r="H220" s="26">
        <f>IF(B220="","",MAX(F220-G220,0))</f>
        <v/>
      </c>
      <c r="I220">
        <f>IF(B220="","",IF(H220&lt;=0,"PAGO",IF(G220&gt;0,"PARCIAL","PENDENTE")))</f>
        <v/>
      </c>
    </row>
    <row r="221">
      <c r="A221" t="n">
        <v>220</v>
      </c>
      <c r="C221" s="25" t="n"/>
      <c r="F221" s="26" t="n"/>
      <c r="G221" s="26">
        <f>IF(B221="","",SUMIF(Pagamentos!$B$2:$B$1001,A221,Pagamentos!$D$2:$D$1001))</f>
        <v/>
      </c>
      <c r="H221" s="26">
        <f>IF(B221="","",MAX(F221-G221,0))</f>
        <v/>
      </c>
      <c r="I221">
        <f>IF(B221="","",IF(H221&lt;=0,"PAGO",IF(G221&gt;0,"PARCIAL","PENDENTE")))</f>
        <v/>
      </c>
    </row>
    <row r="222">
      <c r="A222" t="n">
        <v>221</v>
      </c>
      <c r="C222" s="25" t="n"/>
      <c r="F222" s="26" t="n"/>
      <c r="G222" s="26">
        <f>IF(B222="","",SUMIF(Pagamentos!$B$2:$B$1001,A222,Pagamentos!$D$2:$D$1001))</f>
        <v/>
      </c>
      <c r="H222" s="26">
        <f>IF(B222="","",MAX(F222-G222,0))</f>
        <v/>
      </c>
      <c r="I222">
        <f>IF(B222="","",IF(H222&lt;=0,"PAGO",IF(G222&gt;0,"PARCIAL","PENDENTE")))</f>
        <v/>
      </c>
    </row>
    <row r="223">
      <c r="A223" t="n">
        <v>222</v>
      </c>
      <c r="C223" s="25" t="n"/>
      <c r="F223" s="26" t="n"/>
      <c r="G223" s="26">
        <f>IF(B223="","",SUMIF(Pagamentos!$B$2:$B$1001,A223,Pagamentos!$D$2:$D$1001))</f>
        <v/>
      </c>
      <c r="H223" s="26">
        <f>IF(B223="","",MAX(F223-G223,0))</f>
        <v/>
      </c>
      <c r="I223">
        <f>IF(B223="","",IF(H223&lt;=0,"PAGO",IF(G223&gt;0,"PARCIAL","PENDENTE")))</f>
        <v/>
      </c>
    </row>
    <row r="224">
      <c r="A224" t="n">
        <v>223</v>
      </c>
      <c r="C224" s="25" t="n"/>
      <c r="F224" s="26" t="n"/>
      <c r="G224" s="26">
        <f>IF(B224="","",SUMIF(Pagamentos!$B$2:$B$1001,A224,Pagamentos!$D$2:$D$1001))</f>
        <v/>
      </c>
      <c r="H224" s="26">
        <f>IF(B224="","",MAX(F224-G224,0))</f>
        <v/>
      </c>
      <c r="I224">
        <f>IF(B224="","",IF(H224&lt;=0,"PAGO",IF(G224&gt;0,"PARCIAL","PENDENTE")))</f>
        <v/>
      </c>
    </row>
    <row r="225">
      <c r="A225" t="n">
        <v>224</v>
      </c>
      <c r="C225" s="25" t="n"/>
      <c r="F225" s="26" t="n"/>
      <c r="G225" s="26">
        <f>IF(B225="","",SUMIF(Pagamentos!$B$2:$B$1001,A225,Pagamentos!$D$2:$D$1001))</f>
        <v/>
      </c>
      <c r="H225" s="26">
        <f>IF(B225="","",MAX(F225-G225,0))</f>
        <v/>
      </c>
      <c r="I225">
        <f>IF(B225="","",IF(H225&lt;=0,"PAGO",IF(G225&gt;0,"PARCIAL","PENDENTE")))</f>
        <v/>
      </c>
    </row>
    <row r="226">
      <c r="A226" t="n">
        <v>225</v>
      </c>
      <c r="C226" s="25" t="n"/>
      <c r="F226" s="26" t="n"/>
      <c r="G226" s="26">
        <f>IF(B226="","",SUMIF(Pagamentos!$B$2:$B$1001,A226,Pagamentos!$D$2:$D$1001))</f>
        <v/>
      </c>
      <c r="H226" s="26">
        <f>IF(B226="","",MAX(F226-G226,0))</f>
        <v/>
      </c>
      <c r="I226">
        <f>IF(B226="","",IF(H226&lt;=0,"PAGO",IF(G226&gt;0,"PARCIAL","PENDENTE")))</f>
        <v/>
      </c>
    </row>
    <row r="227">
      <c r="A227" t="n">
        <v>226</v>
      </c>
      <c r="C227" s="25" t="n"/>
      <c r="F227" s="26" t="n"/>
      <c r="G227" s="26">
        <f>IF(B227="","",SUMIF(Pagamentos!$B$2:$B$1001,A227,Pagamentos!$D$2:$D$1001))</f>
        <v/>
      </c>
      <c r="H227" s="26">
        <f>IF(B227="","",MAX(F227-G227,0))</f>
        <v/>
      </c>
      <c r="I227">
        <f>IF(B227="","",IF(H227&lt;=0,"PAGO",IF(G227&gt;0,"PARCIAL","PENDENTE")))</f>
        <v/>
      </c>
    </row>
    <row r="228">
      <c r="A228" t="n">
        <v>227</v>
      </c>
      <c r="C228" s="25" t="n"/>
      <c r="F228" s="26" t="n"/>
      <c r="G228" s="26">
        <f>IF(B228="","",SUMIF(Pagamentos!$B$2:$B$1001,A228,Pagamentos!$D$2:$D$1001))</f>
        <v/>
      </c>
      <c r="H228" s="26">
        <f>IF(B228="","",MAX(F228-G228,0))</f>
        <v/>
      </c>
      <c r="I228">
        <f>IF(B228="","",IF(H228&lt;=0,"PAGO",IF(G228&gt;0,"PARCIAL","PENDENTE")))</f>
        <v/>
      </c>
    </row>
    <row r="229">
      <c r="A229" t="n">
        <v>228</v>
      </c>
      <c r="C229" s="25" t="n"/>
      <c r="F229" s="26" t="n"/>
      <c r="G229" s="26">
        <f>IF(B229="","",SUMIF(Pagamentos!$B$2:$B$1001,A229,Pagamentos!$D$2:$D$1001))</f>
        <v/>
      </c>
      <c r="H229" s="26">
        <f>IF(B229="","",MAX(F229-G229,0))</f>
        <v/>
      </c>
      <c r="I229">
        <f>IF(B229="","",IF(H229&lt;=0,"PAGO",IF(G229&gt;0,"PARCIAL","PENDENTE")))</f>
        <v/>
      </c>
    </row>
    <row r="230">
      <c r="A230" t="n">
        <v>229</v>
      </c>
      <c r="C230" s="25" t="n"/>
      <c r="F230" s="26" t="n"/>
      <c r="G230" s="26">
        <f>IF(B230="","",SUMIF(Pagamentos!$B$2:$B$1001,A230,Pagamentos!$D$2:$D$1001))</f>
        <v/>
      </c>
      <c r="H230" s="26">
        <f>IF(B230="","",MAX(F230-G230,0))</f>
        <v/>
      </c>
      <c r="I230">
        <f>IF(B230="","",IF(H230&lt;=0,"PAGO",IF(G230&gt;0,"PARCIAL","PENDENTE")))</f>
        <v/>
      </c>
    </row>
    <row r="231">
      <c r="A231" t="n">
        <v>230</v>
      </c>
      <c r="C231" s="25" t="n"/>
      <c r="F231" s="26" t="n"/>
      <c r="G231" s="26">
        <f>IF(B231="","",SUMIF(Pagamentos!$B$2:$B$1001,A231,Pagamentos!$D$2:$D$1001))</f>
        <v/>
      </c>
      <c r="H231" s="26">
        <f>IF(B231="","",MAX(F231-G231,0))</f>
        <v/>
      </c>
      <c r="I231">
        <f>IF(B231="","",IF(H231&lt;=0,"PAGO",IF(G231&gt;0,"PARCIAL","PENDENTE")))</f>
        <v/>
      </c>
    </row>
    <row r="232">
      <c r="A232" t="n">
        <v>231</v>
      </c>
      <c r="C232" s="25" t="n"/>
      <c r="F232" s="26" t="n"/>
      <c r="G232" s="26">
        <f>IF(B232="","",SUMIF(Pagamentos!$B$2:$B$1001,A232,Pagamentos!$D$2:$D$1001))</f>
        <v/>
      </c>
      <c r="H232" s="26">
        <f>IF(B232="","",MAX(F232-G232,0))</f>
        <v/>
      </c>
      <c r="I232">
        <f>IF(B232="","",IF(H232&lt;=0,"PAGO",IF(G232&gt;0,"PARCIAL","PENDENTE")))</f>
        <v/>
      </c>
    </row>
    <row r="233">
      <c r="A233" t="n">
        <v>232</v>
      </c>
      <c r="C233" s="25" t="n"/>
      <c r="F233" s="26" t="n"/>
      <c r="G233" s="26">
        <f>IF(B233="","",SUMIF(Pagamentos!$B$2:$B$1001,A233,Pagamentos!$D$2:$D$1001))</f>
        <v/>
      </c>
      <c r="H233" s="26">
        <f>IF(B233="","",MAX(F233-G233,0))</f>
        <v/>
      </c>
      <c r="I233">
        <f>IF(B233="","",IF(H233&lt;=0,"PAGO",IF(G233&gt;0,"PARCIAL","PENDENTE")))</f>
        <v/>
      </c>
    </row>
    <row r="234">
      <c r="A234" t="n">
        <v>233</v>
      </c>
      <c r="C234" s="25" t="n"/>
      <c r="F234" s="26" t="n"/>
      <c r="G234" s="26">
        <f>IF(B234="","",SUMIF(Pagamentos!$B$2:$B$1001,A234,Pagamentos!$D$2:$D$1001))</f>
        <v/>
      </c>
      <c r="H234" s="26">
        <f>IF(B234="","",MAX(F234-G234,0))</f>
        <v/>
      </c>
      <c r="I234">
        <f>IF(B234="","",IF(H234&lt;=0,"PAGO",IF(G234&gt;0,"PARCIAL","PENDENTE")))</f>
        <v/>
      </c>
    </row>
    <row r="235">
      <c r="A235" t="n">
        <v>234</v>
      </c>
      <c r="C235" s="25" t="n"/>
      <c r="F235" s="26" t="n"/>
      <c r="G235" s="26">
        <f>IF(B235="","",SUMIF(Pagamentos!$B$2:$B$1001,A235,Pagamentos!$D$2:$D$1001))</f>
        <v/>
      </c>
      <c r="H235" s="26">
        <f>IF(B235="","",MAX(F235-G235,0))</f>
        <v/>
      </c>
      <c r="I235">
        <f>IF(B235="","",IF(H235&lt;=0,"PAGO",IF(G235&gt;0,"PARCIAL","PENDENTE")))</f>
        <v/>
      </c>
    </row>
    <row r="236">
      <c r="A236" t="n">
        <v>235</v>
      </c>
      <c r="C236" s="25" t="n"/>
      <c r="F236" s="26" t="n"/>
      <c r="G236" s="26">
        <f>IF(B236="","",SUMIF(Pagamentos!$B$2:$B$1001,A236,Pagamentos!$D$2:$D$1001))</f>
        <v/>
      </c>
      <c r="H236" s="26">
        <f>IF(B236="","",MAX(F236-G236,0))</f>
        <v/>
      </c>
      <c r="I236">
        <f>IF(B236="","",IF(H236&lt;=0,"PAGO",IF(G236&gt;0,"PARCIAL","PENDENTE")))</f>
        <v/>
      </c>
    </row>
    <row r="237">
      <c r="A237" t="n">
        <v>236</v>
      </c>
      <c r="C237" s="25" t="n"/>
      <c r="F237" s="26" t="n"/>
      <c r="G237" s="26">
        <f>IF(B237="","",SUMIF(Pagamentos!$B$2:$B$1001,A237,Pagamentos!$D$2:$D$1001))</f>
        <v/>
      </c>
      <c r="H237" s="26">
        <f>IF(B237="","",MAX(F237-G237,0))</f>
        <v/>
      </c>
      <c r="I237">
        <f>IF(B237="","",IF(H237&lt;=0,"PAGO",IF(G237&gt;0,"PARCIAL","PENDENTE")))</f>
        <v/>
      </c>
    </row>
    <row r="238">
      <c r="A238" t="n">
        <v>237</v>
      </c>
      <c r="C238" s="25" t="n"/>
      <c r="F238" s="26" t="n"/>
      <c r="G238" s="26">
        <f>IF(B238="","",SUMIF(Pagamentos!$B$2:$B$1001,A238,Pagamentos!$D$2:$D$1001))</f>
        <v/>
      </c>
      <c r="H238" s="26">
        <f>IF(B238="","",MAX(F238-G238,0))</f>
        <v/>
      </c>
      <c r="I238">
        <f>IF(B238="","",IF(H238&lt;=0,"PAGO",IF(G238&gt;0,"PARCIAL","PENDENTE")))</f>
        <v/>
      </c>
    </row>
    <row r="239">
      <c r="A239" t="n">
        <v>238</v>
      </c>
      <c r="C239" s="25" t="n"/>
      <c r="F239" s="26" t="n"/>
      <c r="G239" s="26">
        <f>IF(B239="","",SUMIF(Pagamentos!$B$2:$B$1001,A239,Pagamentos!$D$2:$D$1001))</f>
        <v/>
      </c>
      <c r="H239" s="26">
        <f>IF(B239="","",MAX(F239-G239,0))</f>
        <v/>
      </c>
      <c r="I239">
        <f>IF(B239="","",IF(H239&lt;=0,"PAGO",IF(G239&gt;0,"PARCIAL","PENDENTE")))</f>
        <v/>
      </c>
    </row>
    <row r="240">
      <c r="A240" t="n">
        <v>239</v>
      </c>
      <c r="C240" s="25" t="n"/>
      <c r="F240" s="26" t="n"/>
      <c r="G240" s="26">
        <f>IF(B240="","",SUMIF(Pagamentos!$B$2:$B$1001,A240,Pagamentos!$D$2:$D$1001))</f>
        <v/>
      </c>
      <c r="H240" s="26">
        <f>IF(B240="","",MAX(F240-G240,0))</f>
        <v/>
      </c>
      <c r="I240">
        <f>IF(B240="","",IF(H240&lt;=0,"PAGO",IF(G240&gt;0,"PARCIAL","PENDENTE")))</f>
        <v/>
      </c>
    </row>
    <row r="241">
      <c r="A241" t="n">
        <v>240</v>
      </c>
      <c r="C241" s="25" t="n"/>
      <c r="F241" s="26" t="n"/>
      <c r="G241" s="26">
        <f>IF(B241="","",SUMIF(Pagamentos!$B$2:$B$1001,A241,Pagamentos!$D$2:$D$1001))</f>
        <v/>
      </c>
      <c r="H241" s="26">
        <f>IF(B241="","",MAX(F241-G241,0))</f>
        <v/>
      </c>
      <c r="I241">
        <f>IF(B241="","",IF(H241&lt;=0,"PAGO",IF(G241&gt;0,"PARCIAL","PENDENTE")))</f>
        <v/>
      </c>
    </row>
    <row r="242">
      <c r="A242" t="n">
        <v>241</v>
      </c>
      <c r="C242" s="25" t="n"/>
      <c r="F242" s="26" t="n"/>
      <c r="G242" s="26">
        <f>IF(B242="","",SUMIF(Pagamentos!$B$2:$B$1001,A242,Pagamentos!$D$2:$D$1001))</f>
        <v/>
      </c>
      <c r="H242" s="26">
        <f>IF(B242="","",MAX(F242-G242,0))</f>
        <v/>
      </c>
      <c r="I242">
        <f>IF(B242="","",IF(H242&lt;=0,"PAGO",IF(G242&gt;0,"PARCIAL","PENDENTE")))</f>
        <v/>
      </c>
    </row>
    <row r="243">
      <c r="A243" t="n">
        <v>242</v>
      </c>
      <c r="C243" s="25" t="n"/>
      <c r="F243" s="26" t="n"/>
      <c r="G243" s="26">
        <f>IF(B243="","",SUMIF(Pagamentos!$B$2:$B$1001,A243,Pagamentos!$D$2:$D$1001))</f>
        <v/>
      </c>
      <c r="H243" s="26">
        <f>IF(B243="","",MAX(F243-G243,0))</f>
        <v/>
      </c>
      <c r="I243">
        <f>IF(B243="","",IF(H243&lt;=0,"PAGO",IF(G243&gt;0,"PARCIAL","PENDENTE")))</f>
        <v/>
      </c>
    </row>
    <row r="244">
      <c r="A244" t="n">
        <v>243</v>
      </c>
      <c r="C244" s="25" t="n"/>
      <c r="F244" s="26" t="n"/>
      <c r="G244" s="26">
        <f>IF(B244="","",SUMIF(Pagamentos!$B$2:$B$1001,A244,Pagamentos!$D$2:$D$1001))</f>
        <v/>
      </c>
      <c r="H244" s="26">
        <f>IF(B244="","",MAX(F244-G244,0))</f>
        <v/>
      </c>
      <c r="I244">
        <f>IF(B244="","",IF(H244&lt;=0,"PAGO",IF(G244&gt;0,"PARCIAL","PENDENTE")))</f>
        <v/>
      </c>
    </row>
    <row r="245">
      <c r="A245" t="n">
        <v>244</v>
      </c>
      <c r="C245" s="25" t="n"/>
      <c r="F245" s="26" t="n"/>
      <c r="G245" s="26">
        <f>IF(B245="","",SUMIF(Pagamentos!$B$2:$B$1001,A245,Pagamentos!$D$2:$D$1001))</f>
        <v/>
      </c>
      <c r="H245" s="26">
        <f>IF(B245="","",MAX(F245-G245,0))</f>
        <v/>
      </c>
      <c r="I245">
        <f>IF(B245="","",IF(H245&lt;=0,"PAGO",IF(G245&gt;0,"PARCIAL","PENDENTE")))</f>
        <v/>
      </c>
    </row>
    <row r="246">
      <c r="A246" t="n">
        <v>245</v>
      </c>
      <c r="C246" s="25" t="n"/>
      <c r="F246" s="26" t="n"/>
      <c r="G246" s="26">
        <f>IF(B246="","",SUMIF(Pagamentos!$B$2:$B$1001,A246,Pagamentos!$D$2:$D$1001))</f>
        <v/>
      </c>
      <c r="H246" s="26">
        <f>IF(B246="","",MAX(F246-G246,0))</f>
        <v/>
      </c>
      <c r="I246">
        <f>IF(B246="","",IF(H246&lt;=0,"PAGO",IF(G246&gt;0,"PARCIAL","PENDENTE")))</f>
        <v/>
      </c>
    </row>
    <row r="247">
      <c r="A247" t="n">
        <v>246</v>
      </c>
      <c r="C247" s="25" t="n"/>
      <c r="F247" s="26" t="n"/>
      <c r="G247" s="26">
        <f>IF(B247="","",SUMIF(Pagamentos!$B$2:$B$1001,A247,Pagamentos!$D$2:$D$1001))</f>
        <v/>
      </c>
      <c r="H247" s="26">
        <f>IF(B247="","",MAX(F247-G247,0))</f>
        <v/>
      </c>
      <c r="I247">
        <f>IF(B247="","",IF(H247&lt;=0,"PAGO",IF(G247&gt;0,"PARCIAL","PENDENTE")))</f>
        <v/>
      </c>
    </row>
    <row r="248">
      <c r="A248" t="n">
        <v>247</v>
      </c>
      <c r="C248" s="25" t="n"/>
      <c r="F248" s="26" t="n"/>
      <c r="G248" s="26">
        <f>IF(B248="","",SUMIF(Pagamentos!$B$2:$B$1001,A248,Pagamentos!$D$2:$D$1001))</f>
        <v/>
      </c>
      <c r="H248" s="26">
        <f>IF(B248="","",MAX(F248-G248,0))</f>
        <v/>
      </c>
      <c r="I248">
        <f>IF(B248="","",IF(H248&lt;=0,"PAGO",IF(G248&gt;0,"PARCIAL","PENDENTE")))</f>
        <v/>
      </c>
    </row>
    <row r="249">
      <c r="A249" t="n">
        <v>248</v>
      </c>
      <c r="C249" s="25" t="n"/>
      <c r="F249" s="26" t="n"/>
      <c r="G249" s="26">
        <f>IF(B249="","",SUMIF(Pagamentos!$B$2:$B$1001,A249,Pagamentos!$D$2:$D$1001))</f>
        <v/>
      </c>
      <c r="H249" s="26">
        <f>IF(B249="","",MAX(F249-G249,0))</f>
        <v/>
      </c>
      <c r="I249">
        <f>IF(B249="","",IF(H249&lt;=0,"PAGO",IF(G249&gt;0,"PARCIAL","PENDENTE")))</f>
        <v/>
      </c>
    </row>
    <row r="250">
      <c r="A250" t="n">
        <v>249</v>
      </c>
      <c r="C250" s="25" t="n"/>
      <c r="F250" s="26" t="n"/>
      <c r="G250" s="26">
        <f>IF(B250="","",SUMIF(Pagamentos!$B$2:$B$1001,A250,Pagamentos!$D$2:$D$1001))</f>
        <v/>
      </c>
      <c r="H250" s="26">
        <f>IF(B250="","",MAX(F250-G250,0))</f>
        <v/>
      </c>
      <c r="I250">
        <f>IF(B250="","",IF(H250&lt;=0,"PAGO",IF(G250&gt;0,"PARCIAL","PENDENTE")))</f>
        <v/>
      </c>
    </row>
    <row r="251">
      <c r="A251" t="n">
        <v>250</v>
      </c>
      <c r="C251" s="25" t="n"/>
      <c r="F251" s="26" t="n"/>
      <c r="G251" s="26">
        <f>IF(B251="","",SUMIF(Pagamentos!$B$2:$B$1001,A251,Pagamentos!$D$2:$D$1001))</f>
        <v/>
      </c>
      <c r="H251" s="26">
        <f>IF(B251="","",MAX(F251-G251,0))</f>
        <v/>
      </c>
      <c r="I251">
        <f>IF(B251="","",IF(H251&lt;=0,"PAGO",IF(G251&gt;0,"PARCIAL","PENDENTE")))</f>
        <v/>
      </c>
    </row>
    <row r="252">
      <c r="A252" t="n">
        <v>251</v>
      </c>
      <c r="C252" s="25" t="n"/>
      <c r="F252" s="26" t="n"/>
      <c r="G252" s="26">
        <f>IF(B252="","",SUMIF(Pagamentos!$B$2:$B$1001,A252,Pagamentos!$D$2:$D$1001))</f>
        <v/>
      </c>
      <c r="H252" s="26">
        <f>IF(B252="","",MAX(F252-G252,0))</f>
        <v/>
      </c>
      <c r="I252">
        <f>IF(B252="","",IF(H252&lt;=0,"PAGO",IF(G252&gt;0,"PARCIAL","PENDENTE")))</f>
        <v/>
      </c>
    </row>
    <row r="253">
      <c r="A253" t="n">
        <v>252</v>
      </c>
      <c r="C253" s="25" t="n"/>
      <c r="F253" s="26" t="n"/>
      <c r="G253" s="26">
        <f>IF(B253="","",SUMIF(Pagamentos!$B$2:$B$1001,A253,Pagamentos!$D$2:$D$1001))</f>
        <v/>
      </c>
      <c r="H253" s="26">
        <f>IF(B253="","",MAX(F253-G253,0))</f>
        <v/>
      </c>
      <c r="I253">
        <f>IF(B253="","",IF(H253&lt;=0,"PAGO",IF(G253&gt;0,"PARCIAL","PENDENTE")))</f>
        <v/>
      </c>
    </row>
    <row r="254">
      <c r="A254" t="n">
        <v>253</v>
      </c>
      <c r="C254" s="25" t="n"/>
      <c r="F254" s="26" t="n"/>
      <c r="G254" s="26">
        <f>IF(B254="","",SUMIF(Pagamentos!$B$2:$B$1001,A254,Pagamentos!$D$2:$D$1001))</f>
        <v/>
      </c>
      <c r="H254" s="26">
        <f>IF(B254="","",MAX(F254-G254,0))</f>
        <v/>
      </c>
      <c r="I254">
        <f>IF(B254="","",IF(H254&lt;=0,"PAGO",IF(G254&gt;0,"PARCIAL","PENDENTE")))</f>
        <v/>
      </c>
    </row>
    <row r="255">
      <c r="A255" t="n">
        <v>254</v>
      </c>
      <c r="C255" s="25" t="n"/>
      <c r="F255" s="26" t="n"/>
      <c r="G255" s="26">
        <f>IF(B255="","",SUMIF(Pagamentos!$B$2:$B$1001,A255,Pagamentos!$D$2:$D$1001))</f>
        <v/>
      </c>
      <c r="H255" s="26">
        <f>IF(B255="","",MAX(F255-G255,0))</f>
        <v/>
      </c>
      <c r="I255">
        <f>IF(B255="","",IF(H255&lt;=0,"PAGO",IF(G255&gt;0,"PARCIAL","PENDENTE")))</f>
        <v/>
      </c>
    </row>
    <row r="256">
      <c r="A256" t="n">
        <v>255</v>
      </c>
      <c r="C256" s="25" t="n"/>
      <c r="F256" s="26" t="n"/>
      <c r="G256" s="26">
        <f>IF(B256="","",SUMIF(Pagamentos!$B$2:$B$1001,A256,Pagamentos!$D$2:$D$1001))</f>
        <v/>
      </c>
      <c r="H256" s="26">
        <f>IF(B256="","",MAX(F256-G256,0))</f>
        <v/>
      </c>
      <c r="I256">
        <f>IF(B256="","",IF(H256&lt;=0,"PAGO",IF(G256&gt;0,"PARCIAL","PENDENTE")))</f>
        <v/>
      </c>
    </row>
    <row r="257">
      <c r="A257" t="n">
        <v>256</v>
      </c>
      <c r="C257" s="25" t="n"/>
      <c r="F257" s="26" t="n"/>
      <c r="G257" s="26">
        <f>IF(B257="","",SUMIF(Pagamentos!$B$2:$B$1001,A257,Pagamentos!$D$2:$D$1001))</f>
        <v/>
      </c>
      <c r="H257" s="26">
        <f>IF(B257="","",MAX(F257-G257,0))</f>
        <v/>
      </c>
      <c r="I257">
        <f>IF(B257="","",IF(H257&lt;=0,"PAGO",IF(G257&gt;0,"PARCIAL","PENDENTE")))</f>
        <v/>
      </c>
    </row>
    <row r="258">
      <c r="A258" t="n">
        <v>257</v>
      </c>
      <c r="C258" s="25" t="n"/>
      <c r="F258" s="26" t="n"/>
      <c r="G258" s="26">
        <f>IF(B258="","",SUMIF(Pagamentos!$B$2:$B$1001,A258,Pagamentos!$D$2:$D$1001))</f>
        <v/>
      </c>
      <c r="H258" s="26">
        <f>IF(B258="","",MAX(F258-G258,0))</f>
        <v/>
      </c>
      <c r="I258">
        <f>IF(B258="","",IF(H258&lt;=0,"PAGO",IF(G258&gt;0,"PARCIAL","PENDENTE")))</f>
        <v/>
      </c>
    </row>
    <row r="259">
      <c r="A259" t="n">
        <v>258</v>
      </c>
      <c r="C259" s="25" t="n"/>
      <c r="F259" s="26" t="n"/>
      <c r="G259" s="26">
        <f>IF(B259="","",SUMIF(Pagamentos!$B$2:$B$1001,A259,Pagamentos!$D$2:$D$1001))</f>
        <v/>
      </c>
      <c r="H259" s="26">
        <f>IF(B259="","",MAX(F259-G259,0))</f>
        <v/>
      </c>
      <c r="I259">
        <f>IF(B259="","",IF(H259&lt;=0,"PAGO",IF(G259&gt;0,"PARCIAL","PENDENTE")))</f>
        <v/>
      </c>
    </row>
    <row r="260">
      <c r="A260" t="n">
        <v>259</v>
      </c>
      <c r="C260" s="25" t="n"/>
      <c r="F260" s="26" t="n"/>
      <c r="G260" s="26">
        <f>IF(B260="","",SUMIF(Pagamentos!$B$2:$B$1001,A260,Pagamentos!$D$2:$D$1001))</f>
        <v/>
      </c>
      <c r="H260" s="26">
        <f>IF(B260="","",MAX(F260-G260,0))</f>
        <v/>
      </c>
      <c r="I260">
        <f>IF(B260="","",IF(H260&lt;=0,"PAGO",IF(G260&gt;0,"PARCIAL","PENDENTE")))</f>
        <v/>
      </c>
    </row>
    <row r="261">
      <c r="A261" t="n">
        <v>260</v>
      </c>
      <c r="C261" s="25" t="n"/>
      <c r="F261" s="26" t="n"/>
      <c r="G261" s="26">
        <f>IF(B261="","",SUMIF(Pagamentos!$B$2:$B$1001,A261,Pagamentos!$D$2:$D$1001))</f>
        <v/>
      </c>
      <c r="H261" s="26">
        <f>IF(B261="","",MAX(F261-G261,0))</f>
        <v/>
      </c>
      <c r="I261">
        <f>IF(B261="","",IF(H261&lt;=0,"PAGO",IF(G261&gt;0,"PARCIAL","PENDENTE")))</f>
        <v/>
      </c>
    </row>
    <row r="262">
      <c r="A262" t="n">
        <v>261</v>
      </c>
      <c r="C262" s="25" t="n"/>
      <c r="F262" s="26" t="n"/>
      <c r="G262" s="26">
        <f>IF(B262="","",SUMIF(Pagamentos!$B$2:$B$1001,A262,Pagamentos!$D$2:$D$1001))</f>
        <v/>
      </c>
      <c r="H262" s="26">
        <f>IF(B262="","",MAX(F262-G262,0))</f>
        <v/>
      </c>
      <c r="I262">
        <f>IF(B262="","",IF(H262&lt;=0,"PAGO",IF(G262&gt;0,"PARCIAL","PENDENTE")))</f>
        <v/>
      </c>
    </row>
    <row r="263">
      <c r="A263" t="n">
        <v>262</v>
      </c>
      <c r="C263" s="25" t="n"/>
      <c r="F263" s="26" t="n"/>
      <c r="G263" s="26">
        <f>IF(B263="","",SUMIF(Pagamentos!$B$2:$B$1001,A263,Pagamentos!$D$2:$D$1001))</f>
        <v/>
      </c>
      <c r="H263" s="26">
        <f>IF(B263="","",MAX(F263-G263,0))</f>
        <v/>
      </c>
      <c r="I263">
        <f>IF(B263="","",IF(H263&lt;=0,"PAGO",IF(G263&gt;0,"PARCIAL","PENDENTE")))</f>
        <v/>
      </c>
    </row>
    <row r="264">
      <c r="A264" t="n">
        <v>263</v>
      </c>
      <c r="C264" s="25" t="n"/>
      <c r="F264" s="26" t="n"/>
      <c r="G264" s="26">
        <f>IF(B264="","",SUMIF(Pagamentos!$B$2:$B$1001,A264,Pagamentos!$D$2:$D$1001))</f>
        <v/>
      </c>
      <c r="H264" s="26">
        <f>IF(B264="","",MAX(F264-G264,0))</f>
        <v/>
      </c>
      <c r="I264">
        <f>IF(B264="","",IF(H264&lt;=0,"PAGO",IF(G264&gt;0,"PARCIAL","PENDENTE")))</f>
        <v/>
      </c>
    </row>
    <row r="265">
      <c r="A265" t="n">
        <v>264</v>
      </c>
      <c r="C265" s="25" t="n"/>
      <c r="F265" s="26" t="n"/>
      <c r="G265" s="26">
        <f>IF(B265="","",SUMIF(Pagamentos!$B$2:$B$1001,A265,Pagamentos!$D$2:$D$1001))</f>
        <v/>
      </c>
      <c r="H265" s="26">
        <f>IF(B265="","",MAX(F265-G265,0))</f>
        <v/>
      </c>
      <c r="I265">
        <f>IF(B265="","",IF(H265&lt;=0,"PAGO",IF(G265&gt;0,"PARCIAL","PENDENTE")))</f>
        <v/>
      </c>
    </row>
    <row r="266">
      <c r="A266" t="n">
        <v>265</v>
      </c>
      <c r="C266" s="25" t="n"/>
      <c r="F266" s="26" t="n"/>
      <c r="G266" s="26">
        <f>IF(B266="","",SUMIF(Pagamentos!$B$2:$B$1001,A266,Pagamentos!$D$2:$D$1001))</f>
        <v/>
      </c>
      <c r="H266" s="26">
        <f>IF(B266="","",MAX(F266-G266,0))</f>
        <v/>
      </c>
      <c r="I266">
        <f>IF(B266="","",IF(H266&lt;=0,"PAGO",IF(G266&gt;0,"PARCIAL","PENDENTE")))</f>
        <v/>
      </c>
    </row>
    <row r="267">
      <c r="A267" t="n">
        <v>266</v>
      </c>
      <c r="C267" s="25" t="n"/>
      <c r="F267" s="26" t="n"/>
      <c r="G267" s="26">
        <f>IF(B267="","",SUMIF(Pagamentos!$B$2:$B$1001,A267,Pagamentos!$D$2:$D$1001))</f>
        <v/>
      </c>
      <c r="H267" s="26">
        <f>IF(B267="","",MAX(F267-G267,0))</f>
        <v/>
      </c>
      <c r="I267">
        <f>IF(B267="","",IF(H267&lt;=0,"PAGO",IF(G267&gt;0,"PARCIAL","PENDENTE")))</f>
        <v/>
      </c>
    </row>
    <row r="268">
      <c r="A268" t="n">
        <v>267</v>
      </c>
      <c r="C268" s="25" t="n"/>
      <c r="F268" s="26" t="n"/>
      <c r="G268" s="26">
        <f>IF(B268="","",SUMIF(Pagamentos!$B$2:$B$1001,A268,Pagamentos!$D$2:$D$1001))</f>
        <v/>
      </c>
      <c r="H268" s="26">
        <f>IF(B268="","",MAX(F268-G268,0))</f>
        <v/>
      </c>
      <c r="I268">
        <f>IF(B268="","",IF(H268&lt;=0,"PAGO",IF(G268&gt;0,"PARCIAL","PENDENTE")))</f>
        <v/>
      </c>
    </row>
    <row r="269">
      <c r="A269" t="n">
        <v>268</v>
      </c>
      <c r="C269" s="25" t="n"/>
      <c r="F269" s="26" t="n"/>
      <c r="G269" s="26">
        <f>IF(B269="","",SUMIF(Pagamentos!$B$2:$B$1001,A269,Pagamentos!$D$2:$D$1001))</f>
        <v/>
      </c>
      <c r="H269" s="26">
        <f>IF(B269="","",MAX(F269-G269,0))</f>
        <v/>
      </c>
      <c r="I269">
        <f>IF(B269="","",IF(H269&lt;=0,"PAGO",IF(G269&gt;0,"PARCIAL","PENDENTE")))</f>
        <v/>
      </c>
    </row>
    <row r="270">
      <c r="A270" t="n">
        <v>269</v>
      </c>
      <c r="C270" s="25" t="n"/>
      <c r="F270" s="26" t="n"/>
      <c r="G270" s="26">
        <f>IF(B270="","",SUMIF(Pagamentos!$B$2:$B$1001,A270,Pagamentos!$D$2:$D$1001))</f>
        <v/>
      </c>
      <c r="H270" s="26">
        <f>IF(B270="","",MAX(F270-G270,0))</f>
        <v/>
      </c>
      <c r="I270">
        <f>IF(B270="","",IF(H270&lt;=0,"PAGO",IF(G270&gt;0,"PARCIAL","PENDENTE")))</f>
        <v/>
      </c>
    </row>
    <row r="271">
      <c r="A271" t="n">
        <v>270</v>
      </c>
      <c r="C271" s="25" t="n"/>
      <c r="F271" s="26" t="n"/>
      <c r="G271" s="26">
        <f>IF(B271="","",SUMIF(Pagamentos!$B$2:$B$1001,A271,Pagamentos!$D$2:$D$1001))</f>
        <v/>
      </c>
      <c r="H271" s="26">
        <f>IF(B271="","",MAX(F271-G271,0))</f>
        <v/>
      </c>
      <c r="I271">
        <f>IF(B271="","",IF(H271&lt;=0,"PAGO",IF(G271&gt;0,"PARCIAL","PENDENTE")))</f>
        <v/>
      </c>
    </row>
    <row r="272">
      <c r="A272" t="n">
        <v>271</v>
      </c>
      <c r="C272" s="25" t="n"/>
      <c r="F272" s="26" t="n"/>
      <c r="G272" s="26">
        <f>IF(B272="","",SUMIF(Pagamentos!$B$2:$B$1001,A272,Pagamentos!$D$2:$D$1001))</f>
        <v/>
      </c>
      <c r="H272" s="26">
        <f>IF(B272="","",MAX(F272-G272,0))</f>
        <v/>
      </c>
      <c r="I272">
        <f>IF(B272="","",IF(H272&lt;=0,"PAGO",IF(G272&gt;0,"PARCIAL","PENDENTE")))</f>
        <v/>
      </c>
    </row>
    <row r="273">
      <c r="A273" t="n">
        <v>272</v>
      </c>
      <c r="C273" s="25" t="n"/>
      <c r="F273" s="26" t="n"/>
      <c r="G273" s="26">
        <f>IF(B273="","",SUMIF(Pagamentos!$B$2:$B$1001,A273,Pagamentos!$D$2:$D$1001))</f>
        <v/>
      </c>
      <c r="H273" s="26">
        <f>IF(B273="","",MAX(F273-G273,0))</f>
        <v/>
      </c>
      <c r="I273">
        <f>IF(B273="","",IF(H273&lt;=0,"PAGO",IF(G273&gt;0,"PARCIAL","PENDENTE")))</f>
        <v/>
      </c>
    </row>
    <row r="274">
      <c r="A274" t="n">
        <v>273</v>
      </c>
      <c r="C274" s="25" t="n"/>
      <c r="F274" s="26" t="n"/>
      <c r="G274" s="26">
        <f>IF(B274="","",SUMIF(Pagamentos!$B$2:$B$1001,A274,Pagamentos!$D$2:$D$1001))</f>
        <v/>
      </c>
      <c r="H274" s="26">
        <f>IF(B274="","",MAX(F274-G274,0))</f>
        <v/>
      </c>
      <c r="I274">
        <f>IF(B274="","",IF(H274&lt;=0,"PAGO",IF(G274&gt;0,"PARCIAL","PENDENTE")))</f>
        <v/>
      </c>
    </row>
    <row r="275">
      <c r="A275" t="n">
        <v>274</v>
      </c>
      <c r="C275" s="25" t="n"/>
      <c r="F275" s="26" t="n"/>
      <c r="G275" s="26">
        <f>IF(B275="","",SUMIF(Pagamentos!$B$2:$B$1001,A275,Pagamentos!$D$2:$D$1001))</f>
        <v/>
      </c>
      <c r="H275" s="26">
        <f>IF(B275="","",MAX(F275-G275,0))</f>
        <v/>
      </c>
      <c r="I275">
        <f>IF(B275="","",IF(H275&lt;=0,"PAGO",IF(G275&gt;0,"PARCIAL","PENDENTE")))</f>
        <v/>
      </c>
    </row>
    <row r="276">
      <c r="A276" t="n">
        <v>275</v>
      </c>
      <c r="C276" s="25" t="n"/>
      <c r="F276" s="26" t="n"/>
      <c r="G276" s="26">
        <f>IF(B276="","",SUMIF(Pagamentos!$B$2:$B$1001,A276,Pagamentos!$D$2:$D$1001))</f>
        <v/>
      </c>
      <c r="H276" s="26">
        <f>IF(B276="","",MAX(F276-G276,0))</f>
        <v/>
      </c>
      <c r="I276">
        <f>IF(B276="","",IF(H276&lt;=0,"PAGO",IF(G276&gt;0,"PARCIAL","PENDENTE")))</f>
        <v/>
      </c>
    </row>
    <row r="277">
      <c r="A277" t="n">
        <v>276</v>
      </c>
      <c r="C277" s="25" t="n"/>
      <c r="F277" s="26" t="n"/>
      <c r="G277" s="26">
        <f>IF(B277="","",SUMIF(Pagamentos!$B$2:$B$1001,A277,Pagamentos!$D$2:$D$1001))</f>
        <v/>
      </c>
      <c r="H277" s="26">
        <f>IF(B277="","",MAX(F277-G277,0))</f>
        <v/>
      </c>
      <c r="I277">
        <f>IF(B277="","",IF(H277&lt;=0,"PAGO",IF(G277&gt;0,"PARCIAL","PENDENTE")))</f>
        <v/>
      </c>
    </row>
    <row r="278">
      <c r="A278" t="n">
        <v>277</v>
      </c>
      <c r="C278" s="25" t="n"/>
      <c r="F278" s="26" t="n"/>
      <c r="G278" s="26">
        <f>IF(B278="","",SUMIF(Pagamentos!$B$2:$B$1001,A278,Pagamentos!$D$2:$D$1001))</f>
        <v/>
      </c>
      <c r="H278" s="26">
        <f>IF(B278="","",MAX(F278-G278,0))</f>
        <v/>
      </c>
      <c r="I278">
        <f>IF(B278="","",IF(H278&lt;=0,"PAGO",IF(G278&gt;0,"PARCIAL","PENDENTE")))</f>
        <v/>
      </c>
    </row>
    <row r="279">
      <c r="A279" t="n">
        <v>278</v>
      </c>
      <c r="C279" s="25" t="n"/>
      <c r="F279" s="26" t="n"/>
      <c r="G279" s="26">
        <f>IF(B279="","",SUMIF(Pagamentos!$B$2:$B$1001,A279,Pagamentos!$D$2:$D$1001))</f>
        <v/>
      </c>
      <c r="H279" s="26">
        <f>IF(B279="","",MAX(F279-G279,0))</f>
        <v/>
      </c>
      <c r="I279">
        <f>IF(B279="","",IF(H279&lt;=0,"PAGO",IF(G279&gt;0,"PARCIAL","PENDENTE")))</f>
        <v/>
      </c>
    </row>
    <row r="280">
      <c r="A280" t="n">
        <v>279</v>
      </c>
      <c r="C280" s="25" t="n"/>
      <c r="F280" s="26" t="n"/>
      <c r="G280" s="26">
        <f>IF(B280="","",SUMIF(Pagamentos!$B$2:$B$1001,A280,Pagamentos!$D$2:$D$1001))</f>
        <v/>
      </c>
      <c r="H280" s="26">
        <f>IF(B280="","",MAX(F280-G280,0))</f>
        <v/>
      </c>
      <c r="I280">
        <f>IF(B280="","",IF(H280&lt;=0,"PAGO",IF(G280&gt;0,"PARCIAL","PENDENTE")))</f>
        <v/>
      </c>
    </row>
    <row r="281">
      <c r="A281" t="n">
        <v>280</v>
      </c>
      <c r="C281" s="25" t="n"/>
      <c r="F281" s="26" t="n"/>
      <c r="G281" s="26">
        <f>IF(B281="","",SUMIF(Pagamentos!$B$2:$B$1001,A281,Pagamentos!$D$2:$D$1001))</f>
        <v/>
      </c>
      <c r="H281" s="26">
        <f>IF(B281="","",MAX(F281-G281,0))</f>
        <v/>
      </c>
      <c r="I281">
        <f>IF(B281="","",IF(H281&lt;=0,"PAGO",IF(G281&gt;0,"PARCIAL","PENDENTE")))</f>
        <v/>
      </c>
    </row>
    <row r="282">
      <c r="A282" t="n">
        <v>281</v>
      </c>
      <c r="C282" s="25" t="n"/>
      <c r="F282" s="26" t="n"/>
      <c r="G282" s="26">
        <f>IF(B282="","",SUMIF(Pagamentos!$B$2:$B$1001,A282,Pagamentos!$D$2:$D$1001))</f>
        <v/>
      </c>
      <c r="H282" s="26">
        <f>IF(B282="","",MAX(F282-G282,0))</f>
        <v/>
      </c>
      <c r="I282">
        <f>IF(B282="","",IF(H282&lt;=0,"PAGO",IF(G282&gt;0,"PARCIAL","PENDENTE")))</f>
        <v/>
      </c>
    </row>
    <row r="283">
      <c r="A283" t="n">
        <v>282</v>
      </c>
      <c r="C283" s="25" t="n"/>
      <c r="F283" s="26" t="n"/>
      <c r="G283" s="26">
        <f>IF(B283="","",SUMIF(Pagamentos!$B$2:$B$1001,A283,Pagamentos!$D$2:$D$1001))</f>
        <v/>
      </c>
      <c r="H283" s="26">
        <f>IF(B283="","",MAX(F283-G283,0))</f>
        <v/>
      </c>
      <c r="I283">
        <f>IF(B283="","",IF(H283&lt;=0,"PAGO",IF(G283&gt;0,"PARCIAL","PENDENTE")))</f>
        <v/>
      </c>
    </row>
    <row r="284">
      <c r="A284" t="n">
        <v>283</v>
      </c>
      <c r="C284" s="25" t="n"/>
      <c r="F284" s="26" t="n"/>
      <c r="G284" s="26">
        <f>IF(B284="","",SUMIF(Pagamentos!$B$2:$B$1001,A284,Pagamentos!$D$2:$D$1001))</f>
        <v/>
      </c>
      <c r="H284" s="26">
        <f>IF(B284="","",MAX(F284-G284,0))</f>
        <v/>
      </c>
      <c r="I284">
        <f>IF(B284="","",IF(H284&lt;=0,"PAGO",IF(G284&gt;0,"PARCIAL","PENDENTE")))</f>
        <v/>
      </c>
    </row>
    <row r="285">
      <c r="A285" t="n">
        <v>284</v>
      </c>
      <c r="C285" s="25" t="n"/>
      <c r="F285" s="26" t="n"/>
      <c r="G285" s="26">
        <f>IF(B285="","",SUMIF(Pagamentos!$B$2:$B$1001,A285,Pagamentos!$D$2:$D$1001))</f>
        <v/>
      </c>
      <c r="H285" s="26">
        <f>IF(B285="","",MAX(F285-G285,0))</f>
        <v/>
      </c>
      <c r="I285">
        <f>IF(B285="","",IF(H285&lt;=0,"PAGO",IF(G285&gt;0,"PARCIAL","PENDENTE")))</f>
        <v/>
      </c>
    </row>
    <row r="286">
      <c r="A286" t="n">
        <v>285</v>
      </c>
      <c r="C286" s="25" t="n"/>
      <c r="F286" s="26" t="n"/>
      <c r="G286" s="26">
        <f>IF(B286="","",SUMIF(Pagamentos!$B$2:$B$1001,A286,Pagamentos!$D$2:$D$1001))</f>
        <v/>
      </c>
      <c r="H286" s="26">
        <f>IF(B286="","",MAX(F286-G286,0))</f>
        <v/>
      </c>
      <c r="I286">
        <f>IF(B286="","",IF(H286&lt;=0,"PAGO",IF(G286&gt;0,"PARCIAL","PENDENTE")))</f>
        <v/>
      </c>
    </row>
    <row r="287">
      <c r="A287" t="n">
        <v>286</v>
      </c>
      <c r="C287" s="25" t="n"/>
      <c r="F287" s="26" t="n"/>
      <c r="G287" s="26">
        <f>IF(B287="","",SUMIF(Pagamentos!$B$2:$B$1001,A287,Pagamentos!$D$2:$D$1001))</f>
        <v/>
      </c>
      <c r="H287" s="26">
        <f>IF(B287="","",MAX(F287-G287,0))</f>
        <v/>
      </c>
      <c r="I287">
        <f>IF(B287="","",IF(H287&lt;=0,"PAGO",IF(G287&gt;0,"PARCIAL","PENDENTE")))</f>
        <v/>
      </c>
    </row>
    <row r="288">
      <c r="A288" t="n">
        <v>287</v>
      </c>
      <c r="C288" s="25" t="n"/>
      <c r="F288" s="26" t="n"/>
      <c r="G288" s="26">
        <f>IF(B288="","",SUMIF(Pagamentos!$B$2:$B$1001,A288,Pagamentos!$D$2:$D$1001))</f>
        <v/>
      </c>
      <c r="H288" s="26">
        <f>IF(B288="","",MAX(F288-G288,0))</f>
        <v/>
      </c>
      <c r="I288">
        <f>IF(B288="","",IF(H288&lt;=0,"PAGO",IF(G288&gt;0,"PARCIAL","PENDENTE")))</f>
        <v/>
      </c>
    </row>
    <row r="289">
      <c r="A289" t="n">
        <v>288</v>
      </c>
      <c r="C289" s="25" t="n"/>
      <c r="F289" s="26" t="n"/>
      <c r="G289" s="26">
        <f>IF(B289="","",SUMIF(Pagamentos!$B$2:$B$1001,A289,Pagamentos!$D$2:$D$1001))</f>
        <v/>
      </c>
      <c r="H289" s="26">
        <f>IF(B289="","",MAX(F289-G289,0))</f>
        <v/>
      </c>
      <c r="I289">
        <f>IF(B289="","",IF(H289&lt;=0,"PAGO",IF(G289&gt;0,"PARCIAL","PENDENTE")))</f>
        <v/>
      </c>
    </row>
    <row r="290">
      <c r="A290" t="n">
        <v>289</v>
      </c>
      <c r="C290" s="25" t="n"/>
      <c r="F290" s="26" t="n"/>
      <c r="G290" s="26">
        <f>IF(B290="","",SUMIF(Pagamentos!$B$2:$B$1001,A290,Pagamentos!$D$2:$D$1001))</f>
        <v/>
      </c>
      <c r="H290" s="26">
        <f>IF(B290="","",MAX(F290-G290,0))</f>
        <v/>
      </c>
      <c r="I290">
        <f>IF(B290="","",IF(H290&lt;=0,"PAGO",IF(G290&gt;0,"PARCIAL","PENDENTE")))</f>
        <v/>
      </c>
    </row>
    <row r="291">
      <c r="A291" t="n">
        <v>290</v>
      </c>
      <c r="C291" s="25" t="n"/>
      <c r="F291" s="26" t="n"/>
      <c r="G291" s="26">
        <f>IF(B291="","",SUMIF(Pagamentos!$B$2:$B$1001,A291,Pagamentos!$D$2:$D$1001))</f>
        <v/>
      </c>
      <c r="H291" s="26">
        <f>IF(B291="","",MAX(F291-G291,0))</f>
        <v/>
      </c>
      <c r="I291">
        <f>IF(B291="","",IF(H291&lt;=0,"PAGO",IF(G291&gt;0,"PARCIAL","PENDENTE")))</f>
        <v/>
      </c>
    </row>
    <row r="292">
      <c r="A292" t="n">
        <v>291</v>
      </c>
      <c r="C292" s="25" t="n"/>
      <c r="F292" s="26" t="n"/>
      <c r="G292" s="26">
        <f>IF(B292="","",SUMIF(Pagamentos!$B$2:$B$1001,A292,Pagamentos!$D$2:$D$1001))</f>
        <v/>
      </c>
      <c r="H292" s="26">
        <f>IF(B292="","",MAX(F292-G292,0))</f>
        <v/>
      </c>
      <c r="I292">
        <f>IF(B292="","",IF(H292&lt;=0,"PAGO",IF(G292&gt;0,"PARCIAL","PENDENTE")))</f>
        <v/>
      </c>
    </row>
    <row r="293">
      <c r="A293" t="n">
        <v>292</v>
      </c>
      <c r="C293" s="25" t="n"/>
      <c r="F293" s="26" t="n"/>
      <c r="G293" s="26">
        <f>IF(B293="","",SUMIF(Pagamentos!$B$2:$B$1001,A293,Pagamentos!$D$2:$D$1001))</f>
        <v/>
      </c>
      <c r="H293" s="26">
        <f>IF(B293="","",MAX(F293-G293,0))</f>
        <v/>
      </c>
      <c r="I293">
        <f>IF(B293="","",IF(H293&lt;=0,"PAGO",IF(G293&gt;0,"PARCIAL","PENDENTE")))</f>
        <v/>
      </c>
    </row>
    <row r="294">
      <c r="A294" t="n">
        <v>293</v>
      </c>
      <c r="C294" s="25" t="n"/>
      <c r="F294" s="26" t="n"/>
      <c r="G294" s="26">
        <f>IF(B294="","",SUMIF(Pagamentos!$B$2:$B$1001,A294,Pagamentos!$D$2:$D$1001))</f>
        <v/>
      </c>
      <c r="H294" s="26">
        <f>IF(B294="","",MAX(F294-G294,0))</f>
        <v/>
      </c>
      <c r="I294">
        <f>IF(B294="","",IF(H294&lt;=0,"PAGO",IF(G294&gt;0,"PARCIAL","PENDENTE")))</f>
        <v/>
      </c>
    </row>
    <row r="295">
      <c r="A295" t="n">
        <v>294</v>
      </c>
      <c r="C295" s="25" t="n"/>
      <c r="F295" s="26" t="n"/>
      <c r="G295" s="26">
        <f>IF(B295="","",SUMIF(Pagamentos!$B$2:$B$1001,A295,Pagamentos!$D$2:$D$1001))</f>
        <v/>
      </c>
      <c r="H295" s="26">
        <f>IF(B295="","",MAX(F295-G295,0))</f>
        <v/>
      </c>
      <c r="I295">
        <f>IF(B295="","",IF(H295&lt;=0,"PAGO",IF(G295&gt;0,"PARCIAL","PENDENTE")))</f>
        <v/>
      </c>
    </row>
    <row r="296">
      <c r="A296" t="n">
        <v>295</v>
      </c>
      <c r="C296" s="25" t="n"/>
      <c r="F296" s="26" t="n"/>
      <c r="G296" s="26">
        <f>IF(B296="","",SUMIF(Pagamentos!$B$2:$B$1001,A296,Pagamentos!$D$2:$D$1001))</f>
        <v/>
      </c>
      <c r="H296" s="26">
        <f>IF(B296="","",MAX(F296-G296,0))</f>
        <v/>
      </c>
      <c r="I296">
        <f>IF(B296="","",IF(H296&lt;=0,"PAGO",IF(G296&gt;0,"PARCIAL","PENDENTE")))</f>
        <v/>
      </c>
    </row>
    <row r="297">
      <c r="A297" t="n">
        <v>296</v>
      </c>
      <c r="C297" s="25" t="n"/>
      <c r="F297" s="26" t="n"/>
      <c r="G297" s="26">
        <f>IF(B297="","",SUMIF(Pagamentos!$B$2:$B$1001,A297,Pagamentos!$D$2:$D$1001))</f>
        <v/>
      </c>
      <c r="H297" s="26">
        <f>IF(B297="","",MAX(F297-G297,0))</f>
        <v/>
      </c>
      <c r="I297">
        <f>IF(B297="","",IF(H297&lt;=0,"PAGO",IF(G297&gt;0,"PARCIAL","PENDENTE")))</f>
        <v/>
      </c>
    </row>
    <row r="298">
      <c r="A298" t="n">
        <v>297</v>
      </c>
      <c r="C298" s="25" t="n"/>
      <c r="F298" s="26" t="n"/>
      <c r="G298" s="26">
        <f>IF(B298="","",SUMIF(Pagamentos!$B$2:$B$1001,A298,Pagamentos!$D$2:$D$1001))</f>
        <v/>
      </c>
      <c r="H298" s="26">
        <f>IF(B298="","",MAX(F298-G298,0))</f>
        <v/>
      </c>
      <c r="I298">
        <f>IF(B298="","",IF(H298&lt;=0,"PAGO",IF(G298&gt;0,"PARCIAL","PENDENTE")))</f>
        <v/>
      </c>
    </row>
    <row r="299">
      <c r="A299" t="n">
        <v>298</v>
      </c>
      <c r="C299" s="25" t="n"/>
      <c r="F299" s="26" t="n"/>
      <c r="G299" s="26">
        <f>IF(B299="","",SUMIF(Pagamentos!$B$2:$B$1001,A299,Pagamentos!$D$2:$D$1001))</f>
        <v/>
      </c>
      <c r="H299" s="26">
        <f>IF(B299="","",MAX(F299-G299,0))</f>
        <v/>
      </c>
      <c r="I299">
        <f>IF(B299="","",IF(H299&lt;=0,"PAGO",IF(G299&gt;0,"PARCIAL","PENDENTE")))</f>
        <v/>
      </c>
    </row>
    <row r="300">
      <c r="A300" t="n">
        <v>299</v>
      </c>
      <c r="C300" s="25" t="n"/>
      <c r="F300" s="26" t="n"/>
      <c r="G300" s="26">
        <f>IF(B300="","",SUMIF(Pagamentos!$B$2:$B$1001,A300,Pagamentos!$D$2:$D$1001))</f>
        <v/>
      </c>
      <c r="H300" s="26">
        <f>IF(B300="","",MAX(F300-G300,0))</f>
        <v/>
      </c>
      <c r="I300">
        <f>IF(B300="","",IF(H300&lt;=0,"PAGO",IF(G300&gt;0,"PARCIAL","PENDENTE")))</f>
        <v/>
      </c>
    </row>
    <row r="301">
      <c r="A301" t="n">
        <v>300</v>
      </c>
      <c r="C301" s="25" t="n"/>
      <c r="F301" s="26" t="n"/>
      <c r="G301" s="26">
        <f>IF(B301="","",SUMIF(Pagamentos!$B$2:$B$1001,A301,Pagamentos!$D$2:$D$1001))</f>
        <v/>
      </c>
      <c r="H301" s="26">
        <f>IF(B301="","",MAX(F301-G301,0))</f>
        <v/>
      </c>
      <c r="I301">
        <f>IF(B301="","",IF(H301&lt;=0,"PAGO",IF(G301&gt;0,"PARCIAL","PENDENTE")))</f>
        <v/>
      </c>
    </row>
  </sheetData>
  <conditionalFormatting sqref="I2:I301">
    <cfRule type="expression" priority="1" dxfId="0">
      <formula>I2="PAGO"</formula>
    </cfRule>
    <cfRule type="expression" priority="2" dxfId="1">
      <formula>I2="PARCIAL"</formula>
    </cfRule>
    <cfRule type="expression" priority="3" dxfId="2">
      <formula>I2="PENDENTE"</formula>
    </cfRule>
  </conditionalFormatting>
  <dataValidations count="1">
    <dataValidation sqref="J2:J301" showDropDown="0" showInputMessage="0" showErrorMessage="0" allowBlank="0" type="list">
      <formula1>"À vista,Parcelado,FAPEMIG - reembolso integral,FAPEMIG - pagamento direto,FAPEMIG - parcial,Outro"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34" customWidth="1" min="5" max="5"/>
  </cols>
  <sheetData>
    <row r="1">
      <c r="A1" s="22" t="inlineStr">
        <is>
          <t>ID Pagamento</t>
        </is>
      </c>
      <c r="B1" s="22" t="inlineStr">
        <is>
          <t>ID do item</t>
        </is>
      </c>
      <c r="C1" s="22" t="inlineStr">
        <is>
          <t>Data do pagamento</t>
        </is>
      </c>
      <c r="D1" s="22" t="inlineStr">
        <is>
          <t>Valor pago (R$)</t>
        </is>
      </c>
      <c r="E1" s="22" t="inlineStr">
        <is>
          <t>Observação</t>
        </is>
      </c>
    </row>
    <row r="2">
      <c r="A2" t="n">
        <v>1</v>
      </c>
      <c r="B2" t="n">
        <v>1</v>
      </c>
      <c r="C2" s="25" t="n">
        <v>46276</v>
      </c>
      <c r="D2" s="26" t="n">
        <v>206.45</v>
      </c>
      <c r="E2" t="inlineStr">
        <is>
          <t>pago</t>
        </is>
      </c>
    </row>
    <row r="3">
      <c r="A3" t="n">
        <v>2</v>
      </c>
      <c r="C3" s="25" t="n"/>
      <c r="D3" s="26" t="n"/>
    </row>
    <row r="4">
      <c r="A4" t="n">
        <v>3</v>
      </c>
      <c r="C4" s="25" t="n"/>
      <c r="D4" s="26" t="n"/>
    </row>
    <row r="5">
      <c r="A5" t="n">
        <v>4</v>
      </c>
      <c r="C5" s="25" t="n"/>
      <c r="D5" s="26" t="n"/>
    </row>
    <row r="6">
      <c r="A6" t="n">
        <v>5</v>
      </c>
      <c r="C6" s="25" t="n"/>
      <c r="D6" s="26" t="n"/>
    </row>
    <row r="7">
      <c r="A7" t="n">
        <v>6</v>
      </c>
      <c r="C7" s="25" t="n"/>
      <c r="D7" s="26" t="n"/>
    </row>
    <row r="8">
      <c r="A8" t="n">
        <v>7</v>
      </c>
      <c r="C8" s="25" t="n"/>
      <c r="D8" s="26" t="n"/>
    </row>
    <row r="9">
      <c r="A9" t="n">
        <v>8</v>
      </c>
      <c r="C9" s="25" t="n"/>
      <c r="D9" s="26" t="n"/>
    </row>
    <row r="10">
      <c r="A10" t="n">
        <v>9</v>
      </c>
      <c r="C10" s="25" t="n"/>
      <c r="D10" s="26" t="n"/>
    </row>
    <row r="11">
      <c r="A11" t="n">
        <v>10</v>
      </c>
      <c r="C11" s="25" t="n"/>
      <c r="D11" s="26" t="n"/>
    </row>
    <row r="12">
      <c r="A12" t="n">
        <v>11</v>
      </c>
      <c r="C12" s="25" t="n"/>
      <c r="D12" s="26" t="n"/>
    </row>
    <row r="13">
      <c r="A13" t="n">
        <v>12</v>
      </c>
      <c r="C13" s="25" t="n"/>
      <c r="D13" s="26" t="n"/>
    </row>
    <row r="14">
      <c r="A14" t="n">
        <v>13</v>
      </c>
      <c r="C14" s="25" t="n"/>
      <c r="D14" s="26" t="n"/>
    </row>
    <row r="15">
      <c r="A15" t="n">
        <v>14</v>
      </c>
      <c r="C15" s="25" t="n"/>
      <c r="D15" s="26" t="n"/>
    </row>
    <row r="16">
      <c r="A16" t="n">
        <v>15</v>
      </c>
      <c r="C16" s="25" t="n"/>
      <c r="D16" s="26" t="n"/>
    </row>
    <row r="17">
      <c r="A17" t="n">
        <v>16</v>
      </c>
      <c r="C17" s="25" t="n"/>
      <c r="D17" s="26" t="n"/>
    </row>
    <row r="18">
      <c r="A18" t="n">
        <v>17</v>
      </c>
      <c r="C18" s="25" t="n"/>
      <c r="D18" s="26" t="n"/>
    </row>
    <row r="19">
      <c r="A19" t="n">
        <v>18</v>
      </c>
      <c r="C19" s="25" t="n"/>
      <c r="D19" s="26" t="n"/>
    </row>
    <row r="20">
      <c r="A20" t="n">
        <v>19</v>
      </c>
      <c r="C20" s="25" t="n"/>
      <c r="D20" s="26" t="n"/>
    </row>
    <row r="21">
      <c r="A21" t="n">
        <v>20</v>
      </c>
      <c r="C21" s="25" t="n"/>
      <c r="D21" s="26" t="n"/>
    </row>
    <row r="22">
      <c r="A22" t="n">
        <v>21</v>
      </c>
      <c r="C22" s="25" t="n"/>
      <c r="D22" s="26" t="n"/>
    </row>
    <row r="23">
      <c r="A23" t="n">
        <v>22</v>
      </c>
      <c r="C23" s="25" t="n"/>
      <c r="D23" s="26" t="n"/>
    </row>
    <row r="24">
      <c r="A24" t="n">
        <v>23</v>
      </c>
      <c r="C24" s="25" t="n"/>
      <c r="D24" s="26" t="n"/>
    </row>
    <row r="25">
      <c r="A25" t="n">
        <v>24</v>
      </c>
      <c r="C25" s="25" t="n"/>
      <c r="D25" s="26" t="n"/>
    </row>
    <row r="26">
      <c r="A26" t="n">
        <v>25</v>
      </c>
      <c r="C26" s="25" t="n"/>
      <c r="D26" s="26" t="n"/>
    </row>
    <row r="27">
      <c r="A27" t="n">
        <v>26</v>
      </c>
      <c r="C27" s="25" t="n"/>
      <c r="D27" s="26" t="n"/>
    </row>
    <row r="28">
      <c r="A28" t="n">
        <v>27</v>
      </c>
      <c r="C28" s="25" t="n"/>
      <c r="D28" s="26" t="n"/>
    </row>
    <row r="29">
      <c r="A29" t="n">
        <v>28</v>
      </c>
      <c r="C29" s="25" t="n"/>
      <c r="D29" s="26" t="n"/>
    </row>
    <row r="30">
      <c r="A30" t="n">
        <v>29</v>
      </c>
      <c r="C30" s="25" t="n"/>
      <c r="D30" s="26" t="n"/>
    </row>
    <row r="31">
      <c r="A31" t="n">
        <v>30</v>
      </c>
      <c r="C31" s="25" t="n"/>
      <c r="D31" s="26" t="n"/>
    </row>
    <row r="32">
      <c r="A32" t="n">
        <v>31</v>
      </c>
      <c r="C32" s="25" t="n"/>
      <c r="D32" s="26" t="n"/>
    </row>
    <row r="33">
      <c r="A33" t="n">
        <v>32</v>
      </c>
      <c r="C33" s="25" t="n"/>
      <c r="D33" s="26" t="n"/>
    </row>
    <row r="34">
      <c r="A34" t="n">
        <v>33</v>
      </c>
      <c r="C34" s="25" t="n"/>
      <c r="D34" s="26" t="n"/>
    </row>
    <row r="35">
      <c r="A35" t="n">
        <v>34</v>
      </c>
      <c r="C35" s="25" t="n"/>
      <c r="D35" s="26" t="n"/>
    </row>
    <row r="36">
      <c r="A36" t="n">
        <v>35</v>
      </c>
      <c r="C36" s="25" t="n"/>
      <c r="D36" s="26" t="n"/>
    </row>
    <row r="37">
      <c r="A37" t="n">
        <v>36</v>
      </c>
      <c r="C37" s="25" t="n"/>
      <c r="D37" s="26" t="n"/>
    </row>
    <row r="38">
      <c r="A38" t="n">
        <v>37</v>
      </c>
      <c r="C38" s="25" t="n"/>
      <c r="D38" s="26" t="n"/>
    </row>
    <row r="39">
      <c r="A39" t="n">
        <v>38</v>
      </c>
      <c r="C39" s="25" t="n"/>
      <c r="D39" s="26" t="n"/>
    </row>
    <row r="40">
      <c r="A40" t="n">
        <v>39</v>
      </c>
      <c r="C40" s="25" t="n"/>
      <c r="D40" s="26" t="n"/>
    </row>
    <row r="41">
      <c r="A41" t="n">
        <v>40</v>
      </c>
      <c r="C41" s="25" t="n"/>
      <c r="D41" s="26" t="n"/>
    </row>
    <row r="42">
      <c r="A42" t="n">
        <v>41</v>
      </c>
      <c r="C42" s="25" t="n"/>
      <c r="D42" s="26" t="n"/>
    </row>
    <row r="43">
      <c r="A43" t="n">
        <v>42</v>
      </c>
      <c r="C43" s="25" t="n"/>
      <c r="D43" s="26" t="n"/>
    </row>
    <row r="44">
      <c r="A44" t="n">
        <v>43</v>
      </c>
      <c r="C44" s="25" t="n"/>
      <c r="D44" s="26" t="n"/>
    </row>
    <row r="45">
      <c r="A45" t="n">
        <v>44</v>
      </c>
      <c r="C45" s="25" t="n"/>
      <c r="D45" s="26" t="n"/>
    </row>
    <row r="46">
      <c r="A46" t="n">
        <v>45</v>
      </c>
      <c r="C46" s="25" t="n"/>
      <c r="D46" s="26" t="n"/>
    </row>
    <row r="47">
      <c r="A47" t="n">
        <v>46</v>
      </c>
      <c r="C47" s="25" t="n"/>
      <c r="D47" s="26" t="n"/>
    </row>
    <row r="48">
      <c r="A48" t="n">
        <v>47</v>
      </c>
      <c r="C48" s="25" t="n"/>
      <c r="D48" s="26" t="n"/>
    </row>
    <row r="49">
      <c r="A49" t="n">
        <v>48</v>
      </c>
      <c r="C49" s="25" t="n"/>
      <c r="D49" s="26" t="n"/>
    </row>
    <row r="50">
      <c r="A50" t="n">
        <v>49</v>
      </c>
      <c r="C50" s="25" t="n"/>
      <c r="D50" s="26" t="n"/>
    </row>
    <row r="51">
      <c r="A51" t="n">
        <v>50</v>
      </c>
      <c r="C51" s="25" t="n"/>
      <c r="D51" s="26" t="n"/>
    </row>
    <row r="52">
      <c r="A52" t="n">
        <v>51</v>
      </c>
      <c r="C52" s="25" t="n"/>
      <c r="D52" s="26" t="n"/>
    </row>
    <row r="53">
      <c r="A53" t="n">
        <v>52</v>
      </c>
      <c r="C53" s="25" t="n"/>
      <c r="D53" s="26" t="n"/>
    </row>
    <row r="54">
      <c r="A54" t="n">
        <v>53</v>
      </c>
      <c r="C54" s="25" t="n"/>
      <c r="D54" s="26" t="n"/>
    </row>
    <row r="55">
      <c r="A55" t="n">
        <v>54</v>
      </c>
      <c r="C55" s="25" t="n"/>
      <c r="D55" s="26" t="n"/>
    </row>
    <row r="56">
      <c r="A56" t="n">
        <v>55</v>
      </c>
      <c r="C56" s="25" t="n"/>
      <c r="D56" s="26" t="n"/>
    </row>
    <row r="57">
      <c r="A57" t="n">
        <v>56</v>
      </c>
      <c r="C57" s="25" t="n"/>
      <c r="D57" s="26" t="n"/>
    </row>
    <row r="58">
      <c r="A58" t="n">
        <v>57</v>
      </c>
      <c r="C58" s="25" t="n"/>
      <c r="D58" s="26" t="n"/>
    </row>
    <row r="59">
      <c r="A59" t="n">
        <v>58</v>
      </c>
      <c r="C59" s="25" t="n"/>
      <c r="D59" s="26" t="n"/>
    </row>
    <row r="60">
      <c r="A60" t="n">
        <v>59</v>
      </c>
      <c r="C60" s="25" t="n"/>
      <c r="D60" s="26" t="n"/>
    </row>
    <row r="61">
      <c r="A61" t="n">
        <v>60</v>
      </c>
      <c r="C61" s="25" t="n"/>
      <c r="D61" s="26" t="n"/>
    </row>
    <row r="62">
      <c r="A62" t="n">
        <v>61</v>
      </c>
      <c r="C62" s="25" t="n"/>
      <c r="D62" s="26" t="n"/>
    </row>
    <row r="63">
      <c r="A63" t="n">
        <v>62</v>
      </c>
      <c r="C63" s="25" t="n"/>
      <c r="D63" s="26" t="n"/>
    </row>
    <row r="64">
      <c r="A64" t="n">
        <v>63</v>
      </c>
      <c r="C64" s="25" t="n"/>
      <c r="D64" s="26" t="n"/>
    </row>
    <row r="65">
      <c r="A65" t="n">
        <v>64</v>
      </c>
      <c r="C65" s="25" t="n"/>
      <c r="D65" s="26" t="n"/>
    </row>
    <row r="66">
      <c r="A66" t="n">
        <v>65</v>
      </c>
      <c r="C66" s="25" t="n"/>
      <c r="D66" s="26" t="n"/>
    </row>
    <row r="67">
      <c r="A67" t="n">
        <v>66</v>
      </c>
      <c r="C67" s="25" t="n"/>
      <c r="D67" s="26" t="n"/>
    </row>
    <row r="68">
      <c r="A68" t="n">
        <v>67</v>
      </c>
      <c r="C68" s="25" t="n"/>
      <c r="D68" s="26" t="n"/>
    </row>
    <row r="69">
      <c r="A69" t="n">
        <v>68</v>
      </c>
      <c r="C69" s="25" t="n"/>
      <c r="D69" s="26" t="n"/>
    </row>
    <row r="70">
      <c r="A70" t="n">
        <v>69</v>
      </c>
      <c r="C70" s="25" t="n"/>
      <c r="D70" s="26" t="n"/>
    </row>
    <row r="71">
      <c r="A71" t="n">
        <v>70</v>
      </c>
      <c r="C71" s="25" t="n"/>
      <c r="D71" s="26" t="n"/>
    </row>
    <row r="72">
      <c r="A72" t="n">
        <v>71</v>
      </c>
      <c r="C72" s="25" t="n"/>
      <c r="D72" s="26" t="n"/>
    </row>
    <row r="73">
      <c r="A73" t="n">
        <v>72</v>
      </c>
      <c r="C73" s="25" t="n"/>
      <c r="D73" s="26" t="n"/>
    </row>
    <row r="74">
      <c r="A74" t="n">
        <v>73</v>
      </c>
      <c r="C74" s="25" t="n"/>
      <c r="D74" s="26" t="n"/>
    </row>
    <row r="75">
      <c r="A75" t="n">
        <v>74</v>
      </c>
      <c r="C75" s="25" t="n"/>
      <c r="D75" s="26" t="n"/>
    </row>
    <row r="76">
      <c r="A76" t="n">
        <v>75</v>
      </c>
      <c r="C76" s="25" t="n"/>
      <c r="D76" s="26" t="n"/>
    </row>
    <row r="77">
      <c r="A77" t="n">
        <v>76</v>
      </c>
      <c r="C77" s="25" t="n"/>
      <c r="D77" s="26" t="n"/>
    </row>
    <row r="78">
      <c r="A78" t="n">
        <v>77</v>
      </c>
      <c r="C78" s="25" t="n"/>
      <c r="D78" s="26" t="n"/>
    </row>
    <row r="79">
      <c r="A79" t="n">
        <v>78</v>
      </c>
      <c r="C79" s="25" t="n"/>
      <c r="D79" s="26" t="n"/>
    </row>
    <row r="80">
      <c r="A80" t="n">
        <v>79</v>
      </c>
      <c r="C80" s="25" t="n"/>
      <c r="D80" s="26" t="n"/>
    </row>
    <row r="81">
      <c r="A81" t="n">
        <v>80</v>
      </c>
      <c r="C81" s="25" t="n"/>
      <c r="D81" s="26" t="n"/>
    </row>
    <row r="82">
      <c r="A82" t="n">
        <v>81</v>
      </c>
      <c r="C82" s="25" t="n"/>
      <c r="D82" s="26" t="n"/>
    </row>
    <row r="83">
      <c r="A83" t="n">
        <v>82</v>
      </c>
      <c r="C83" s="25" t="n"/>
      <c r="D83" s="26" t="n"/>
    </row>
    <row r="84">
      <c r="A84" t="n">
        <v>83</v>
      </c>
      <c r="C84" s="25" t="n"/>
      <c r="D84" s="26" t="n"/>
    </row>
    <row r="85">
      <c r="A85" t="n">
        <v>84</v>
      </c>
      <c r="C85" s="25" t="n"/>
      <c r="D85" s="26" t="n"/>
    </row>
    <row r="86">
      <c r="A86" t="n">
        <v>85</v>
      </c>
      <c r="C86" s="25" t="n"/>
      <c r="D86" s="26" t="n"/>
    </row>
    <row r="87">
      <c r="A87" t="n">
        <v>86</v>
      </c>
      <c r="C87" s="25" t="n"/>
      <c r="D87" s="26" t="n"/>
    </row>
    <row r="88">
      <c r="A88" t="n">
        <v>87</v>
      </c>
      <c r="C88" s="25" t="n"/>
      <c r="D88" s="26" t="n"/>
    </row>
    <row r="89">
      <c r="A89" t="n">
        <v>88</v>
      </c>
      <c r="C89" s="25" t="n"/>
      <c r="D89" s="26" t="n"/>
    </row>
    <row r="90">
      <c r="A90" t="n">
        <v>89</v>
      </c>
      <c r="C90" s="25" t="n"/>
      <c r="D90" s="26" t="n"/>
    </row>
    <row r="91">
      <c r="A91" t="n">
        <v>90</v>
      </c>
      <c r="C91" s="25" t="n"/>
      <c r="D91" s="26" t="n"/>
    </row>
    <row r="92">
      <c r="A92" t="n">
        <v>91</v>
      </c>
      <c r="C92" s="25" t="n"/>
      <c r="D92" s="26" t="n"/>
    </row>
    <row r="93">
      <c r="A93" t="n">
        <v>92</v>
      </c>
      <c r="C93" s="25" t="n"/>
      <c r="D93" s="26" t="n"/>
    </row>
    <row r="94">
      <c r="A94" t="n">
        <v>93</v>
      </c>
      <c r="C94" s="25" t="n"/>
      <c r="D94" s="26" t="n"/>
    </row>
    <row r="95">
      <c r="A95" t="n">
        <v>94</v>
      </c>
      <c r="C95" s="25" t="n"/>
      <c r="D95" s="26" t="n"/>
    </row>
    <row r="96">
      <c r="A96" t="n">
        <v>95</v>
      </c>
      <c r="C96" s="25" t="n"/>
      <c r="D96" s="26" t="n"/>
    </row>
    <row r="97">
      <c r="A97" t="n">
        <v>96</v>
      </c>
      <c r="C97" s="25" t="n"/>
      <c r="D97" s="26" t="n"/>
    </row>
    <row r="98">
      <c r="A98" t="n">
        <v>97</v>
      </c>
      <c r="C98" s="25" t="n"/>
      <c r="D98" s="26" t="n"/>
    </row>
    <row r="99">
      <c r="A99" t="n">
        <v>98</v>
      </c>
      <c r="C99" s="25" t="n"/>
      <c r="D99" s="26" t="n"/>
    </row>
    <row r="100">
      <c r="A100" t="n">
        <v>99</v>
      </c>
      <c r="C100" s="25" t="n"/>
      <c r="D100" s="26" t="n"/>
    </row>
    <row r="101">
      <c r="A101" t="n">
        <v>100</v>
      </c>
      <c r="C101" s="25" t="n"/>
      <c r="D101" s="26" t="n"/>
    </row>
    <row r="102">
      <c r="A102" t="n">
        <v>101</v>
      </c>
      <c r="C102" s="25" t="n"/>
      <c r="D102" s="26" t="n"/>
    </row>
    <row r="103">
      <c r="A103" t="n">
        <v>102</v>
      </c>
      <c r="C103" s="25" t="n"/>
      <c r="D103" s="26" t="n"/>
    </row>
    <row r="104">
      <c r="A104" t="n">
        <v>103</v>
      </c>
      <c r="C104" s="25" t="n"/>
      <c r="D104" s="26" t="n"/>
    </row>
    <row r="105">
      <c r="A105" t="n">
        <v>104</v>
      </c>
      <c r="C105" s="25" t="n"/>
      <c r="D105" s="26" t="n"/>
    </row>
    <row r="106">
      <c r="A106" t="n">
        <v>105</v>
      </c>
      <c r="C106" s="25" t="n"/>
      <c r="D106" s="26" t="n"/>
    </row>
    <row r="107">
      <c r="A107" t="n">
        <v>106</v>
      </c>
      <c r="C107" s="25" t="n"/>
      <c r="D107" s="26" t="n"/>
    </row>
    <row r="108">
      <c r="A108" t="n">
        <v>107</v>
      </c>
      <c r="C108" s="25" t="n"/>
      <c r="D108" s="26" t="n"/>
    </row>
    <row r="109">
      <c r="A109" t="n">
        <v>108</v>
      </c>
      <c r="C109" s="25" t="n"/>
      <c r="D109" s="26" t="n"/>
    </row>
    <row r="110">
      <c r="A110" t="n">
        <v>109</v>
      </c>
      <c r="C110" s="25" t="n"/>
      <c r="D110" s="26" t="n"/>
    </row>
    <row r="111">
      <c r="A111" t="n">
        <v>110</v>
      </c>
      <c r="C111" s="25" t="n"/>
      <c r="D111" s="26" t="n"/>
    </row>
    <row r="112">
      <c r="A112" t="n">
        <v>111</v>
      </c>
      <c r="C112" s="25" t="n"/>
      <c r="D112" s="26" t="n"/>
    </row>
    <row r="113">
      <c r="A113" t="n">
        <v>112</v>
      </c>
      <c r="C113" s="25" t="n"/>
      <c r="D113" s="26" t="n"/>
    </row>
    <row r="114">
      <c r="A114" t="n">
        <v>113</v>
      </c>
      <c r="C114" s="25" t="n"/>
      <c r="D114" s="26" t="n"/>
    </row>
    <row r="115">
      <c r="A115" t="n">
        <v>114</v>
      </c>
      <c r="C115" s="25" t="n"/>
      <c r="D115" s="26" t="n"/>
    </row>
    <row r="116">
      <c r="A116" t="n">
        <v>115</v>
      </c>
      <c r="C116" s="25" t="n"/>
      <c r="D116" s="26" t="n"/>
    </row>
    <row r="117">
      <c r="A117" t="n">
        <v>116</v>
      </c>
      <c r="C117" s="25" t="n"/>
      <c r="D117" s="26" t="n"/>
    </row>
    <row r="118">
      <c r="A118" t="n">
        <v>117</v>
      </c>
      <c r="C118" s="25" t="n"/>
      <c r="D118" s="26" t="n"/>
    </row>
    <row r="119">
      <c r="A119" t="n">
        <v>118</v>
      </c>
      <c r="C119" s="25" t="n"/>
      <c r="D119" s="26" t="n"/>
    </row>
    <row r="120">
      <c r="A120" t="n">
        <v>119</v>
      </c>
      <c r="C120" s="25" t="n"/>
      <c r="D120" s="26" t="n"/>
    </row>
    <row r="121">
      <c r="A121" t="n">
        <v>120</v>
      </c>
      <c r="C121" s="25" t="n"/>
      <c r="D121" s="26" t="n"/>
    </row>
    <row r="122">
      <c r="A122" t="n">
        <v>121</v>
      </c>
      <c r="C122" s="25" t="n"/>
      <c r="D122" s="26" t="n"/>
    </row>
    <row r="123">
      <c r="A123" t="n">
        <v>122</v>
      </c>
      <c r="C123" s="25" t="n"/>
      <c r="D123" s="26" t="n"/>
    </row>
    <row r="124">
      <c r="A124" t="n">
        <v>123</v>
      </c>
      <c r="C124" s="25" t="n"/>
      <c r="D124" s="26" t="n"/>
    </row>
    <row r="125">
      <c r="A125" t="n">
        <v>124</v>
      </c>
      <c r="C125" s="25" t="n"/>
      <c r="D125" s="26" t="n"/>
    </row>
    <row r="126">
      <c r="A126" t="n">
        <v>125</v>
      </c>
      <c r="C126" s="25" t="n"/>
      <c r="D126" s="26" t="n"/>
    </row>
    <row r="127">
      <c r="A127" t="n">
        <v>126</v>
      </c>
      <c r="C127" s="25" t="n"/>
      <c r="D127" s="26" t="n"/>
    </row>
    <row r="128">
      <c r="A128" t="n">
        <v>127</v>
      </c>
      <c r="C128" s="25" t="n"/>
      <c r="D128" s="26" t="n"/>
    </row>
    <row r="129">
      <c r="A129" t="n">
        <v>128</v>
      </c>
      <c r="C129" s="25" t="n"/>
      <c r="D129" s="26" t="n"/>
    </row>
    <row r="130">
      <c r="A130" t="n">
        <v>129</v>
      </c>
      <c r="C130" s="25" t="n"/>
      <c r="D130" s="26" t="n"/>
    </row>
    <row r="131">
      <c r="A131" t="n">
        <v>130</v>
      </c>
      <c r="C131" s="25" t="n"/>
      <c r="D131" s="26" t="n"/>
    </row>
    <row r="132">
      <c r="A132" t="n">
        <v>131</v>
      </c>
      <c r="C132" s="25" t="n"/>
      <c r="D132" s="26" t="n"/>
    </row>
    <row r="133">
      <c r="A133" t="n">
        <v>132</v>
      </c>
      <c r="C133" s="25" t="n"/>
      <c r="D133" s="26" t="n"/>
    </row>
    <row r="134">
      <c r="A134" t="n">
        <v>133</v>
      </c>
      <c r="C134" s="25" t="n"/>
      <c r="D134" s="26" t="n"/>
    </row>
    <row r="135">
      <c r="A135" t="n">
        <v>134</v>
      </c>
      <c r="C135" s="25" t="n"/>
      <c r="D135" s="26" t="n"/>
    </row>
    <row r="136">
      <c r="A136" t="n">
        <v>135</v>
      </c>
      <c r="C136" s="25" t="n"/>
      <c r="D136" s="26" t="n"/>
    </row>
    <row r="137">
      <c r="A137" t="n">
        <v>136</v>
      </c>
      <c r="C137" s="25" t="n"/>
      <c r="D137" s="26" t="n"/>
    </row>
    <row r="138">
      <c r="A138" t="n">
        <v>137</v>
      </c>
      <c r="C138" s="25" t="n"/>
      <c r="D138" s="26" t="n"/>
    </row>
    <row r="139">
      <c r="A139" t="n">
        <v>138</v>
      </c>
      <c r="C139" s="25" t="n"/>
      <c r="D139" s="26" t="n"/>
    </row>
    <row r="140">
      <c r="A140" t="n">
        <v>139</v>
      </c>
      <c r="C140" s="25" t="n"/>
      <c r="D140" s="26" t="n"/>
    </row>
    <row r="141">
      <c r="A141" t="n">
        <v>140</v>
      </c>
      <c r="C141" s="25" t="n"/>
      <c r="D141" s="26" t="n"/>
    </row>
    <row r="142">
      <c r="A142" t="n">
        <v>141</v>
      </c>
      <c r="C142" s="25" t="n"/>
      <c r="D142" s="26" t="n"/>
    </row>
    <row r="143">
      <c r="A143" t="n">
        <v>142</v>
      </c>
      <c r="C143" s="25" t="n"/>
      <c r="D143" s="26" t="n"/>
    </row>
    <row r="144">
      <c r="A144" t="n">
        <v>143</v>
      </c>
      <c r="C144" s="25" t="n"/>
      <c r="D144" s="26" t="n"/>
    </row>
    <row r="145">
      <c r="A145" t="n">
        <v>144</v>
      </c>
      <c r="C145" s="25" t="n"/>
      <c r="D145" s="26" t="n"/>
    </row>
    <row r="146">
      <c r="A146" t="n">
        <v>145</v>
      </c>
      <c r="C146" s="25" t="n"/>
      <c r="D146" s="26" t="n"/>
    </row>
    <row r="147">
      <c r="A147" t="n">
        <v>146</v>
      </c>
      <c r="C147" s="25" t="n"/>
      <c r="D147" s="26" t="n"/>
    </row>
    <row r="148">
      <c r="A148" t="n">
        <v>147</v>
      </c>
      <c r="C148" s="25" t="n"/>
      <c r="D148" s="26" t="n"/>
    </row>
    <row r="149">
      <c r="A149" t="n">
        <v>148</v>
      </c>
      <c r="C149" s="25" t="n"/>
      <c r="D149" s="26" t="n"/>
    </row>
    <row r="150">
      <c r="A150" t="n">
        <v>149</v>
      </c>
      <c r="C150" s="25" t="n"/>
      <c r="D150" s="26" t="n"/>
    </row>
    <row r="151">
      <c r="A151" t="n">
        <v>150</v>
      </c>
      <c r="C151" s="25" t="n"/>
      <c r="D151" s="26" t="n"/>
    </row>
    <row r="152">
      <c r="A152" t="n">
        <v>151</v>
      </c>
      <c r="C152" s="25" t="n"/>
      <c r="D152" s="26" t="n"/>
    </row>
    <row r="153">
      <c r="A153" t="n">
        <v>152</v>
      </c>
      <c r="C153" s="25" t="n"/>
      <c r="D153" s="26" t="n"/>
    </row>
    <row r="154">
      <c r="A154" t="n">
        <v>153</v>
      </c>
      <c r="C154" s="25" t="n"/>
      <c r="D154" s="26" t="n"/>
    </row>
    <row r="155">
      <c r="A155" t="n">
        <v>154</v>
      </c>
      <c r="C155" s="25" t="n"/>
      <c r="D155" s="26" t="n"/>
    </row>
    <row r="156">
      <c r="A156" t="n">
        <v>155</v>
      </c>
      <c r="C156" s="25" t="n"/>
      <c r="D156" s="26" t="n"/>
    </row>
    <row r="157">
      <c r="A157" t="n">
        <v>156</v>
      </c>
      <c r="C157" s="25" t="n"/>
      <c r="D157" s="26" t="n"/>
    </row>
    <row r="158">
      <c r="A158" t="n">
        <v>157</v>
      </c>
      <c r="C158" s="25" t="n"/>
      <c r="D158" s="26" t="n"/>
    </row>
    <row r="159">
      <c r="A159" t="n">
        <v>158</v>
      </c>
      <c r="C159" s="25" t="n"/>
      <c r="D159" s="26" t="n"/>
    </row>
    <row r="160">
      <c r="A160" t="n">
        <v>159</v>
      </c>
      <c r="C160" s="25" t="n"/>
      <c r="D160" s="26" t="n"/>
    </row>
    <row r="161">
      <c r="A161" t="n">
        <v>160</v>
      </c>
      <c r="C161" s="25" t="n"/>
      <c r="D161" s="26" t="n"/>
    </row>
    <row r="162">
      <c r="A162" t="n">
        <v>161</v>
      </c>
      <c r="C162" s="25" t="n"/>
      <c r="D162" s="26" t="n"/>
    </row>
    <row r="163">
      <c r="A163" t="n">
        <v>162</v>
      </c>
      <c r="C163" s="25" t="n"/>
      <c r="D163" s="26" t="n"/>
    </row>
    <row r="164">
      <c r="A164" t="n">
        <v>163</v>
      </c>
      <c r="C164" s="25" t="n"/>
      <c r="D164" s="26" t="n"/>
    </row>
    <row r="165">
      <c r="A165" t="n">
        <v>164</v>
      </c>
      <c r="C165" s="25" t="n"/>
      <c r="D165" s="26" t="n"/>
    </row>
    <row r="166">
      <c r="A166" t="n">
        <v>165</v>
      </c>
      <c r="C166" s="25" t="n"/>
      <c r="D166" s="26" t="n"/>
    </row>
    <row r="167">
      <c r="A167" t="n">
        <v>166</v>
      </c>
      <c r="C167" s="25" t="n"/>
      <c r="D167" s="26" t="n"/>
    </row>
    <row r="168">
      <c r="A168" t="n">
        <v>167</v>
      </c>
      <c r="C168" s="25" t="n"/>
      <c r="D168" s="26" t="n"/>
    </row>
    <row r="169">
      <c r="A169" t="n">
        <v>168</v>
      </c>
      <c r="C169" s="25" t="n"/>
      <c r="D169" s="26" t="n"/>
    </row>
    <row r="170">
      <c r="A170" t="n">
        <v>169</v>
      </c>
      <c r="C170" s="25" t="n"/>
      <c r="D170" s="26" t="n"/>
    </row>
    <row r="171">
      <c r="A171" t="n">
        <v>170</v>
      </c>
      <c r="C171" s="25" t="n"/>
      <c r="D171" s="26" t="n"/>
    </row>
    <row r="172">
      <c r="A172" t="n">
        <v>171</v>
      </c>
      <c r="C172" s="25" t="n"/>
      <c r="D172" s="26" t="n"/>
    </row>
    <row r="173">
      <c r="A173" t="n">
        <v>172</v>
      </c>
      <c r="C173" s="25" t="n"/>
      <c r="D173" s="26" t="n"/>
    </row>
    <row r="174">
      <c r="A174" t="n">
        <v>173</v>
      </c>
      <c r="C174" s="25" t="n"/>
      <c r="D174" s="26" t="n"/>
    </row>
    <row r="175">
      <c r="A175" t="n">
        <v>174</v>
      </c>
      <c r="C175" s="25" t="n"/>
      <c r="D175" s="26" t="n"/>
    </row>
    <row r="176">
      <c r="A176" t="n">
        <v>175</v>
      </c>
      <c r="C176" s="25" t="n"/>
      <c r="D176" s="26" t="n"/>
    </row>
    <row r="177">
      <c r="A177" t="n">
        <v>176</v>
      </c>
      <c r="C177" s="25" t="n"/>
      <c r="D177" s="26" t="n"/>
    </row>
    <row r="178">
      <c r="A178" t="n">
        <v>177</v>
      </c>
      <c r="C178" s="25" t="n"/>
      <c r="D178" s="26" t="n"/>
    </row>
    <row r="179">
      <c r="A179" t="n">
        <v>178</v>
      </c>
      <c r="C179" s="25" t="n"/>
      <c r="D179" s="26" t="n"/>
    </row>
    <row r="180">
      <c r="A180" t="n">
        <v>179</v>
      </c>
      <c r="C180" s="25" t="n"/>
      <c r="D180" s="26" t="n"/>
    </row>
    <row r="181">
      <c r="A181" t="n">
        <v>180</v>
      </c>
      <c r="C181" s="25" t="n"/>
      <c r="D181" s="26" t="n"/>
    </row>
    <row r="182">
      <c r="A182" t="n">
        <v>181</v>
      </c>
      <c r="C182" s="25" t="n"/>
      <c r="D182" s="26" t="n"/>
    </row>
    <row r="183">
      <c r="A183" t="n">
        <v>182</v>
      </c>
      <c r="C183" s="25" t="n"/>
      <c r="D183" s="26" t="n"/>
    </row>
    <row r="184">
      <c r="A184" t="n">
        <v>183</v>
      </c>
      <c r="C184" s="25" t="n"/>
      <c r="D184" s="26" t="n"/>
    </row>
    <row r="185">
      <c r="A185" t="n">
        <v>184</v>
      </c>
      <c r="C185" s="25" t="n"/>
      <c r="D185" s="26" t="n"/>
    </row>
    <row r="186">
      <c r="A186" t="n">
        <v>185</v>
      </c>
      <c r="C186" s="25" t="n"/>
      <c r="D186" s="26" t="n"/>
    </row>
    <row r="187">
      <c r="A187" t="n">
        <v>186</v>
      </c>
      <c r="C187" s="25" t="n"/>
      <c r="D187" s="26" t="n"/>
    </row>
    <row r="188">
      <c r="A188" t="n">
        <v>187</v>
      </c>
      <c r="C188" s="25" t="n"/>
      <c r="D188" s="26" t="n"/>
    </row>
    <row r="189">
      <c r="A189" t="n">
        <v>188</v>
      </c>
      <c r="C189" s="25" t="n"/>
      <c r="D189" s="26" t="n"/>
    </row>
    <row r="190">
      <c r="A190" t="n">
        <v>189</v>
      </c>
      <c r="C190" s="25" t="n"/>
      <c r="D190" s="26" t="n"/>
    </row>
    <row r="191">
      <c r="A191" t="n">
        <v>190</v>
      </c>
      <c r="C191" s="25" t="n"/>
      <c r="D191" s="26" t="n"/>
    </row>
    <row r="192">
      <c r="A192" t="n">
        <v>191</v>
      </c>
      <c r="C192" s="25" t="n"/>
      <c r="D192" s="26" t="n"/>
    </row>
    <row r="193">
      <c r="A193" t="n">
        <v>192</v>
      </c>
      <c r="C193" s="25" t="n"/>
      <c r="D193" s="26" t="n"/>
    </row>
    <row r="194">
      <c r="A194" t="n">
        <v>193</v>
      </c>
      <c r="C194" s="25" t="n"/>
      <c r="D194" s="26" t="n"/>
    </row>
    <row r="195">
      <c r="A195" t="n">
        <v>194</v>
      </c>
      <c r="C195" s="25" t="n"/>
      <c r="D195" s="26" t="n"/>
    </row>
    <row r="196">
      <c r="A196" t="n">
        <v>195</v>
      </c>
      <c r="C196" s="25" t="n"/>
      <c r="D196" s="26" t="n"/>
    </row>
    <row r="197">
      <c r="A197" t="n">
        <v>196</v>
      </c>
      <c r="C197" s="25" t="n"/>
      <c r="D197" s="26" t="n"/>
    </row>
    <row r="198">
      <c r="A198" t="n">
        <v>197</v>
      </c>
      <c r="C198" s="25" t="n"/>
      <c r="D198" s="26" t="n"/>
    </row>
    <row r="199">
      <c r="A199" t="n">
        <v>198</v>
      </c>
      <c r="C199" s="25" t="n"/>
      <c r="D199" s="26" t="n"/>
    </row>
    <row r="200">
      <c r="A200" t="n">
        <v>199</v>
      </c>
      <c r="C200" s="25" t="n"/>
      <c r="D200" s="26" t="n"/>
    </row>
    <row r="201">
      <c r="A201" t="n">
        <v>200</v>
      </c>
      <c r="C201" s="25" t="n"/>
      <c r="D201" s="26" t="n"/>
    </row>
    <row r="202">
      <c r="A202" t="n">
        <v>201</v>
      </c>
      <c r="C202" s="25" t="n"/>
      <c r="D202" s="26" t="n"/>
    </row>
    <row r="203">
      <c r="A203" t="n">
        <v>202</v>
      </c>
      <c r="C203" s="25" t="n"/>
      <c r="D203" s="26" t="n"/>
    </row>
    <row r="204">
      <c r="A204" t="n">
        <v>203</v>
      </c>
      <c r="C204" s="25" t="n"/>
      <c r="D204" s="26" t="n"/>
    </row>
    <row r="205">
      <c r="A205" t="n">
        <v>204</v>
      </c>
      <c r="C205" s="25" t="n"/>
      <c r="D205" s="26" t="n"/>
    </row>
    <row r="206">
      <c r="A206" t="n">
        <v>205</v>
      </c>
      <c r="C206" s="25" t="n"/>
      <c r="D206" s="26" t="n"/>
    </row>
    <row r="207">
      <c r="A207" t="n">
        <v>206</v>
      </c>
      <c r="C207" s="25" t="n"/>
      <c r="D207" s="26" t="n"/>
    </row>
    <row r="208">
      <c r="A208" t="n">
        <v>207</v>
      </c>
      <c r="C208" s="25" t="n"/>
      <c r="D208" s="26" t="n"/>
    </row>
    <row r="209">
      <c r="A209" t="n">
        <v>208</v>
      </c>
      <c r="C209" s="25" t="n"/>
      <c r="D209" s="26" t="n"/>
    </row>
    <row r="210">
      <c r="A210" t="n">
        <v>209</v>
      </c>
      <c r="C210" s="25" t="n"/>
      <c r="D210" s="26" t="n"/>
    </row>
    <row r="211">
      <c r="A211" t="n">
        <v>210</v>
      </c>
      <c r="C211" s="25" t="n"/>
      <c r="D211" s="26" t="n"/>
    </row>
    <row r="212">
      <c r="A212" t="n">
        <v>211</v>
      </c>
      <c r="C212" s="25" t="n"/>
      <c r="D212" s="26" t="n"/>
    </row>
    <row r="213">
      <c r="A213" t="n">
        <v>212</v>
      </c>
      <c r="C213" s="25" t="n"/>
      <c r="D213" s="26" t="n"/>
    </row>
    <row r="214">
      <c r="A214" t="n">
        <v>213</v>
      </c>
      <c r="C214" s="25" t="n"/>
      <c r="D214" s="26" t="n"/>
    </row>
    <row r="215">
      <c r="A215" t="n">
        <v>214</v>
      </c>
      <c r="C215" s="25" t="n"/>
      <c r="D215" s="26" t="n"/>
    </row>
    <row r="216">
      <c r="A216" t="n">
        <v>215</v>
      </c>
      <c r="C216" s="25" t="n"/>
      <c r="D216" s="26" t="n"/>
    </row>
    <row r="217">
      <c r="A217" t="n">
        <v>216</v>
      </c>
      <c r="C217" s="25" t="n"/>
      <c r="D217" s="26" t="n"/>
    </row>
    <row r="218">
      <c r="A218" t="n">
        <v>217</v>
      </c>
      <c r="C218" s="25" t="n"/>
      <c r="D218" s="26" t="n"/>
    </row>
    <row r="219">
      <c r="A219" t="n">
        <v>218</v>
      </c>
      <c r="C219" s="25" t="n"/>
      <c r="D219" s="26" t="n"/>
    </row>
    <row r="220">
      <c r="A220" t="n">
        <v>219</v>
      </c>
      <c r="C220" s="25" t="n"/>
      <c r="D220" s="26" t="n"/>
    </row>
    <row r="221">
      <c r="A221" t="n">
        <v>220</v>
      </c>
      <c r="C221" s="25" t="n"/>
      <c r="D221" s="26" t="n"/>
    </row>
    <row r="222">
      <c r="A222" t="n">
        <v>221</v>
      </c>
      <c r="C222" s="25" t="n"/>
      <c r="D222" s="26" t="n"/>
    </row>
    <row r="223">
      <c r="A223" t="n">
        <v>222</v>
      </c>
      <c r="C223" s="25" t="n"/>
      <c r="D223" s="26" t="n"/>
    </row>
    <row r="224">
      <c r="A224" t="n">
        <v>223</v>
      </c>
      <c r="C224" s="25" t="n"/>
      <c r="D224" s="26" t="n"/>
    </row>
    <row r="225">
      <c r="A225" t="n">
        <v>224</v>
      </c>
      <c r="C225" s="25" t="n"/>
      <c r="D225" s="26" t="n"/>
    </row>
    <row r="226">
      <c r="A226" t="n">
        <v>225</v>
      </c>
      <c r="C226" s="25" t="n"/>
      <c r="D226" s="26" t="n"/>
    </row>
    <row r="227">
      <c r="A227" t="n">
        <v>226</v>
      </c>
      <c r="C227" s="25" t="n"/>
      <c r="D227" s="26" t="n"/>
    </row>
    <row r="228">
      <c r="A228" t="n">
        <v>227</v>
      </c>
      <c r="C228" s="25" t="n"/>
      <c r="D228" s="26" t="n"/>
    </row>
    <row r="229">
      <c r="A229" t="n">
        <v>228</v>
      </c>
      <c r="C229" s="25" t="n"/>
      <c r="D229" s="26" t="n"/>
    </row>
    <row r="230">
      <c r="A230" t="n">
        <v>229</v>
      </c>
      <c r="C230" s="25" t="n"/>
      <c r="D230" s="26" t="n"/>
    </row>
    <row r="231">
      <c r="A231" t="n">
        <v>230</v>
      </c>
      <c r="C231" s="25" t="n"/>
      <c r="D231" s="26" t="n"/>
    </row>
    <row r="232">
      <c r="A232" t="n">
        <v>231</v>
      </c>
      <c r="C232" s="25" t="n"/>
      <c r="D232" s="26" t="n"/>
    </row>
    <row r="233">
      <c r="A233" t="n">
        <v>232</v>
      </c>
      <c r="C233" s="25" t="n"/>
      <c r="D233" s="26" t="n"/>
    </row>
    <row r="234">
      <c r="A234" t="n">
        <v>233</v>
      </c>
      <c r="C234" s="25" t="n"/>
      <c r="D234" s="26" t="n"/>
    </row>
    <row r="235">
      <c r="A235" t="n">
        <v>234</v>
      </c>
      <c r="C235" s="25" t="n"/>
      <c r="D235" s="26" t="n"/>
    </row>
    <row r="236">
      <c r="A236" t="n">
        <v>235</v>
      </c>
      <c r="C236" s="25" t="n"/>
      <c r="D236" s="26" t="n"/>
    </row>
    <row r="237">
      <c r="A237" t="n">
        <v>236</v>
      </c>
      <c r="C237" s="25" t="n"/>
      <c r="D237" s="26" t="n"/>
    </row>
    <row r="238">
      <c r="A238" t="n">
        <v>237</v>
      </c>
      <c r="C238" s="25" t="n"/>
      <c r="D238" s="26" t="n"/>
    </row>
    <row r="239">
      <c r="A239" t="n">
        <v>238</v>
      </c>
      <c r="C239" s="25" t="n"/>
      <c r="D239" s="26" t="n"/>
    </row>
    <row r="240">
      <c r="A240" t="n">
        <v>239</v>
      </c>
      <c r="C240" s="25" t="n"/>
      <c r="D240" s="26" t="n"/>
    </row>
    <row r="241">
      <c r="A241" t="n">
        <v>240</v>
      </c>
      <c r="C241" s="25" t="n"/>
      <c r="D241" s="26" t="n"/>
    </row>
    <row r="242">
      <c r="A242" t="n">
        <v>241</v>
      </c>
      <c r="C242" s="25" t="n"/>
      <c r="D242" s="26" t="n"/>
    </row>
    <row r="243">
      <c r="A243" t="n">
        <v>242</v>
      </c>
      <c r="C243" s="25" t="n"/>
      <c r="D243" s="26" t="n"/>
    </row>
    <row r="244">
      <c r="A244" t="n">
        <v>243</v>
      </c>
      <c r="C244" s="25" t="n"/>
      <c r="D244" s="26" t="n"/>
    </row>
    <row r="245">
      <c r="A245" t="n">
        <v>244</v>
      </c>
      <c r="C245" s="25" t="n"/>
      <c r="D245" s="26" t="n"/>
    </row>
    <row r="246">
      <c r="A246" t="n">
        <v>245</v>
      </c>
      <c r="C246" s="25" t="n"/>
      <c r="D246" s="26" t="n"/>
    </row>
    <row r="247">
      <c r="A247" t="n">
        <v>246</v>
      </c>
      <c r="C247" s="25" t="n"/>
      <c r="D247" s="26" t="n"/>
    </row>
    <row r="248">
      <c r="A248" t="n">
        <v>247</v>
      </c>
      <c r="C248" s="25" t="n"/>
      <c r="D248" s="26" t="n"/>
    </row>
    <row r="249">
      <c r="A249" t="n">
        <v>248</v>
      </c>
      <c r="C249" s="25" t="n"/>
      <c r="D249" s="26" t="n"/>
    </row>
    <row r="250">
      <c r="A250" t="n">
        <v>249</v>
      </c>
      <c r="C250" s="25" t="n"/>
      <c r="D250" s="26" t="n"/>
    </row>
    <row r="251">
      <c r="A251" t="n">
        <v>250</v>
      </c>
      <c r="C251" s="25" t="n"/>
      <c r="D251" s="26" t="n"/>
    </row>
    <row r="252">
      <c r="A252" t="n">
        <v>251</v>
      </c>
      <c r="C252" s="25" t="n"/>
      <c r="D252" s="26" t="n"/>
    </row>
    <row r="253">
      <c r="A253" t="n">
        <v>252</v>
      </c>
      <c r="C253" s="25" t="n"/>
      <c r="D253" s="26" t="n"/>
    </row>
    <row r="254">
      <c r="A254" t="n">
        <v>253</v>
      </c>
      <c r="C254" s="25" t="n"/>
      <c r="D254" s="26" t="n"/>
    </row>
    <row r="255">
      <c r="A255" t="n">
        <v>254</v>
      </c>
      <c r="C255" s="25" t="n"/>
      <c r="D255" s="26" t="n"/>
    </row>
    <row r="256">
      <c r="A256" t="n">
        <v>255</v>
      </c>
      <c r="C256" s="25" t="n"/>
      <c r="D256" s="26" t="n"/>
    </row>
    <row r="257">
      <c r="A257" t="n">
        <v>256</v>
      </c>
      <c r="C257" s="25" t="n"/>
      <c r="D257" s="26" t="n"/>
    </row>
    <row r="258">
      <c r="A258" t="n">
        <v>257</v>
      </c>
      <c r="C258" s="25" t="n"/>
      <c r="D258" s="26" t="n"/>
    </row>
    <row r="259">
      <c r="A259" t="n">
        <v>258</v>
      </c>
      <c r="C259" s="25" t="n"/>
      <c r="D259" s="26" t="n"/>
    </row>
    <row r="260">
      <c r="A260" t="n">
        <v>259</v>
      </c>
      <c r="C260" s="25" t="n"/>
      <c r="D260" s="26" t="n"/>
    </row>
    <row r="261">
      <c r="A261" t="n">
        <v>260</v>
      </c>
      <c r="C261" s="25" t="n"/>
      <c r="D261" s="26" t="n"/>
    </row>
    <row r="262">
      <c r="A262" t="n">
        <v>261</v>
      </c>
      <c r="C262" s="25" t="n"/>
      <c r="D262" s="26" t="n"/>
    </row>
    <row r="263">
      <c r="A263" t="n">
        <v>262</v>
      </c>
      <c r="C263" s="25" t="n"/>
      <c r="D263" s="26" t="n"/>
    </row>
    <row r="264">
      <c r="A264" t="n">
        <v>263</v>
      </c>
      <c r="C264" s="25" t="n"/>
      <c r="D264" s="26" t="n"/>
    </row>
    <row r="265">
      <c r="A265" t="n">
        <v>264</v>
      </c>
      <c r="C265" s="25" t="n"/>
      <c r="D265" s="26" t="n"/>
    </row>
    <row r="266">
      <c r="A266" t="n">
        <v>265</v>
      </c>
      <c r="C266" s="25" t="n"/>
      <c r="D266" s="26" t="n"/>
    </row>
    <row r="267">
      <c r="A267" t="n">
        <v>266</v>
      </c>
      <c r="C267" s="25" t="n"/>
      <c r="D267" s="26" t="n"/>
    </row>
    <row r="268">
      <c r="A268" t="n">
        <v>267</v>
      </c>
      <c r="C268" s="25" t="n"/>
      <c r="D268" s="26" t="n"/>
    </row>
    <row r="269">
      <c r="A269" t="n">
        <v>268</v>
      </c>
      <c r="C269" s="25" t="n"/>
      <c r="D269" s="26" t="n"/>
    </row>
    <row r="270">
      <c r="A270" t="n">
        <v>269</v>
      </c>
      <c r="C270" s="25" t="n"/>
      <c r="D270" s="26" t="n"/>
    </row>
    <row r="271">
      <c r="A271" t="n">
        <v>270</v>
      </c>
      <c r="C271" s="25" t="n"/>
      <c r="D271" s="26" t="n"/>
    </row>
    <row r="272">
      <c r="A272" t="n">
        <v>271</v>
      </c>
      <c r="C272" s="25" t="n"/>
      <c r="D272" s="26" t="n"/>
    </row>
    <row r="273">
      <c r="A273" t="n">
        <v>272</v>
      </c>
      <c r="C273" s="25" t="n"/>
      <c r="D273" s="26" t="n"/>
    </row>
    <row r="274">
      <c r="A274" t="n">
        <v>273</v>
      </c>
      <c r="C274" s="25" t="n"/>
      <c r="D274" s="26" t="n"/>
    </row>
    <row r="275">
      <c r="A275" t="n">
        <v>274</v>
      </c>
      <c r="C275" s="25" t="n"/>
      <c r="D275" s="26" t="n"/>
    </row>
    <row r="276">
      <c r="A276" t="n">
        <v>275</v>
      </c>
      <c r="C276" s="25" t="n"/>
      <c r="D276" s="26" t="n"/>
    </row>
    <row r="277">
      <c r="A277" t="n">
        <v>276</v>
      </c>
      <c r="C277" s="25" t="n"/>
      <c r="D277" s="26" t="n"/>
    </row>
    <row r="278">
      <c r="A278" t="n">
        <v>277</v>
      </c>
      <c r="C278" s="25" t="n"/>
      <c r="D278" s="26" t="n"/>
    </row>
    <row r="279">
      <c r="A279" t="n">
        <v>278</v>
      </c>
      <c r="C279" s="25" t="n"/>
      <c r="D279" s="26" t="n"/>
    </row>
    <row r="280">
      <c r="A280" t="n">
        <v>279</v>
      </c>
      <c r="C280" s="25" t="n"/>
      <c r="D280" s="26" t="n"/>
    </row>
    <row r="281">
      <c r="A281" t="n">
        <v>280</v>
      </c>
      <c r="C281" s="25" t="n"/>
      <c r="D281" s="26" t="n"/>
    </row>
    <row r="282">
      <c r="A282" t="n">
        <v>281</v>
      </c>
      <c r="C282" s="25" t="n"/>
      <c r="D282" s="26" t="n"/>
    </row>
    <row r="283">
      <c r="A283" t="n">
        <v>282</v>
      </c>
      <c r="C283" s="25" t="n"/>
      <c r="D283" s="26" t="n"/>
    </row>
    <row r="284">
      <c r="A284" t="n">
        <v>283</v>
      </c>
      <c r="C284" s="25" t="n"/>
      <c r="D284" s="26" t="n"/>
    </row>
    <row r="285">
      <c r="A285" t="n">
        <v>284</v>
      </c>
      <c r="C285" s="25" t="n"/>
      <c r="D285" s="26" t="n"/>
    </row>
    <row r="286">
      <c r="A286" t="n">
        <v>285</v>
      </c>
      <c r="C286" s="25" t="n"/>
      <c r="D286" s="26" t="n"/>
    </row>
    <row r="287">
      <c r="A287" t="n">
        <v>286</v>
      </c>
      <c r="C287" s="25" t="n"/>
      <c r="D287" s="26" t="n"/>
    </row>
    <row r="288">
      <c r="A288" t="n">
        <v>287</v>
      </c>
      <c r="C288" s="25" t="n"/>
      <c r="D288" s="26" t="n"/>
    </row>
    <row r="289">
      <c r="A289" t="n">
        <v>288</v>
      </c>
      <c r="C289" s="25" t="n"/>
      <c r="D289" s="26" t="n"/>
    </row>
    <row r="290">
      <c r="A290" t="n">
        <v>289</v>
      </c>
      <c r="C290" s="25" t="n"/>
      <c r="D290" s="26" t="n"/>
    </row>
    <row r="291">
      <c r="A291" t="n">
        <v>290</v>
      </c>
      <c r="C291" s="25" t="n"/>
      <c r="D291" s="26" t="n"/>
    </row>
    <row r="292">
      <c r="A292" t="n">
        <v>291</v>
      </c>
      <c r="C292" s="25" t="n"/>
      <c r="D292" s="26" t="n"/>
    </row>
    <row r="293">
      <c r="A293" t="n">
        <v>292</v>
      </c>
      <c r="C293" s="25" t="n"/>
      <c r="D293" s="26" t="n"/>
    </row>
    <row r="294">
      <c r="A294" t="n">
        <v>293</v>
      </c>
      <c r="C294" s="25" t="n"/>
      <c r="D294" s="26" t="n"/>
    </row>
    <row r="295">
      <c r="A295" t="n">
        <v>294</v>
      </c>
      <c r="C295" s="25" t="n"/>
      <c r="D295" s="26" t="n"/>
    </row>
    <row r="296">
      <c r="A296" t="n">
        <v>295</v>
      </c>
      <c r="C296" s="25" t="n"/>
      <c r="D296" s="26" t="n"/>
    </row>
    <row r="297">
      <c r="A297" t="n">
        <v>296</v>
      </c>
      <c r="C297" s="25" t="n"/>
      <c r="D297" s="26" t="n"/>
    </row>
    <row r="298">
      <c r="A298" t="n">
        <v>297</v>
      </c>
      <c r="C298" s="25" t="n"/>
      <c r="D298" s="26" t="n"/>
    </row>
    <row r="299">
      <c r="A299" t="n">
        <v>298</v>
      </c>
      <c r="C299" s="25" t="n"/>
      <c r="D299" s="26" t="n"/>
    </row>
    <row r="300">
      <c r="A300" t="n">
        <v>299</v>
      </c>
      <c r="C300" s="25" t="n"/>
      <c r="D300" s="26" t="n"/>
    </row>
    <row r="301">
      <c r="A301" t="n">
        <v>300</v>
      </c>
      <c r="C301" s="25" t="n"/>
      <c r="D301" s="26" t="n"/>
    </row>
    <row r="302">
      <c r="A302" t="n">
        <v>301</v>
      </c>
      <c r="C302" s="25" t="n"/>
      <c r="D302" s="26" t="n"/>
    </row>
    <row r="303">
      <c r="A303" t="n">
        <v>302</v>
      </c>
      <c r="C303" s="25" t="n"/>
      <c r="D303" s="26" t="n"/>
    </row>
    <row r="304">
      <c r="A304" t="n">
        <v>303</v>
      </c>
      <c r="C304" s="25" t="n"/>
      <c r="D304" s="26" t="n"/>
    </row>
    <row r="305">
      <c r="A305" t="n">
        <v>304</v>
      </c>
      <c r="C305" s="25" t="n"/>
      <c r="D305" s="26" t="n"/>
    </row>
    <row r="306">
      <c r="A306" t="n">
        <v>305</v>
      </c>
      <c r="C306" s="25" t="n"/>
      <c r="D306" s="26" t="n"/>
    </row>
    <row r="307">
      <c r="A307" t="n">
        <v>306</v>
      </c>
      <c r="C307" s="25" t="n"/>
      <c r="D307" s="26" t="n"/>
    </row>
    <row r="308">
      <c r="A308" t="n">
        <v>307</v>
      </c>
      <c r="C308" s="25" t="n"/>
      <c r="D308" s="26" t="n"/>
    </row>
    <row r="309">
      <c r="A309" t="n">
        <v>308</v>
      </c>
      <c r="C309" s="25" t="n"/>
      <c r="D309" s="26" t="n"/>
    </row>
    <row r="310">
      <c r="A310" t="n">
        <v>309</v>
      </c>
      <c r="C310" s="25" t="n"/>
      <c r="D310" s="26" t="n"/>
    </row>
    <row r="311">
      <c r="A311" t="n">
        <v>310</v>
      </c>
      <c r="C311" s="25" t="n"/>
      <c r="D311" s="26" t="n"/>
    </row>
    <row r="312">
      <c r="A312" t="n">
        <v>311</v>
      </c>
      <c r="C312" s="25" t="n"/>
      <c r="D312" s="26" t="n"/>
    </row>
    <row r="313">
      <c r="A313" t="n">
        <v>312</v>
      </c>
      <c r="C313" s="25" t="n"/>
      <c r="D313" s="26" t="n"/>
    </row>
    <row r="314">
      <c r="A314" t="n">
        <v>313</v>
      </c>
      <c r="C314" s="25" t="n"/>
      <c r="D314" s="26" t="n"/>
    </row>
    <row r="315">
      <c r="A315" t="n">
        <v>314</v>
      </c>
      <c r="C315" s="25" t="n"/>
      <c r="D315" s="26" t="n"/>
    </row>
    <row r="316">
      <c r="A316" t="n">
        <v>315</v>
      </c>
      <c r="C316" s="25" t="n"/>
      <c r="D316" s="26" t="n"/>
    </row>
    <row r="317">
      <c r="A317" t="n">
        <v>316</v>
      </c>
      <c r="C317" s="25" t="n"/>
      <c r="D317" s="26" t="n"/>
    </row>
    <row r="318">
      <c r="A318" t="n">
        <v>317</v>
      </c>
      <c r="C318" s="25" t="n"/>
      <c r="D318" s="26" t="n"/>
    </row>
    <row r="319">
      <c r="A319" t="n">
        <v>318</v>
      </c>
      <c r="C319" s="25" t="n"/>
      <c r="D319" s="26" t="n"/>
    </row>
    <row r="320">
      <c r="A320" t="n">
        <v>319</v>
      </c>
      <c r="C320" s="25" t="n"/>
      <c r="D320" s="26" t="n"/>
    </row>
    <row r="321">
      <c r="A321" t="n">
        <v>320</v>
      </c>
      <c r="C321" s="25" t="n"/>
      <c r="D321" s="26" t="n"/>
    </row>
    <row r="322">
      <c r="A322" t="n">
        <v>321</v>
      </c>
      <c r="C322" s="25" t="n"/>
      <c r="D322" s="26" t="n"/>
    </row>
    <row r="323">
      <c r="A323" t="n">
        <v>322</v>
      </c>
      <c r="C323" s="25" t="n"/>
      <c r="D323" s="26" t="n"/>
    </row>
    <row r="324">
      <c r="A324" t="n">
        <v>323</v>
      </c>
      <c r="C324" s="25" t="n"/>
      <c r="D324" s="26" t="n"/>
    </row>
    <row r="325">
      <c r="A325" t="n">
        <v>324</v>
      </c>
      <c r="C325" s="25" t="n"/>
      <c r="D325" s="26" t="n"/>
    </row>
    <row r="326">
      <c r="A326" t="n">
        <v>325</v>
      </c>
      <c r="C326" s="25" t="n"/>
      <c r="D326" s="26" t="n"/>
    </row>
    <row r="327">
      <c r="A327" t="n">
        <v>326</v>
      </c>
      <c r="C327" s="25" t="n"/>
      <c r="D327" s="26" t="n"/>
    </row>
    <row r="328">
      <c r="A328" t="n">
        <v>327</v>
      </c>
      <c r="C328" s="25" t="n"/>
      <c r="D328" s="26" t="n"/>
    </row>
    <row r="329">
      <c r="A329" t="n">
        <v>328</v>
      </c>
      <c r="C329" s="25" t="n"/>
      <c r="D329" s="26" t="n"/>
    </row>
    <row r="330">
      <c r="A330" t="n">
        <v>329</v>
      </c>
      <c r="C330" s="25" t="n"/>
      <c r="D330" s="26" t="n"/>
    </row>
    <row r="331">
      <c r="A331" t="n">
        <v>330</v>
      </c>
      <c r="C331" s="25" t="n"/>
      <c r="D331" s="26" t="n"/>
    </row>
    <row r="332">
      <c r="A332" t="n">
        <v>331</v>
      </c>
      <c r="C332" s="25" t="n"/>
      <c r="D332" s="26" t="n"/>
    </row>
    <row r="333">
      <c r="A333" t="n">
        <v>332</v>
      </c>
      <c r="C333" s="25" t="n"/>
      <c r="D333" s="26" t="n"/>
    </row>
    <row r="334">
      <c r="A334" t="n">
        <v>333</v>
      </c>
      <c r="C334" s="25" t="n"/>
      <c r="D334" s="26" t="n"/>
    </row>
    <row r="335">
      <c r="A335" t="n">
        <v>334</v>
      </c>
      <c r="C335" s="25" t="n"/>
      <c r="D335" s="26" t="n"/>
    </row>
    <row r="336">
      <c r="A336" t="n">
        <v>335</v>
      </c>
      <c r="C336" s="25" t="n"/>
      <c r="D336" s="26" t="n"/>
    </row>
    <row r="337">
      <c r="A337" t="n">
        <v>336</v>
      </c>
      <c r="C337" s="25" t="n"/>
      <c r="D337" s="26" t="n"/>
    </row>
    <row r="338">
      <c r="A338" t="n">
        <v>337</v>
      </c>
      <c r="C338" s="25" t="n"/>
      <c r="D338" s="26" t="n"/>
    </row>
    <row r="339">
      <c r="A339" t="n">
        <v>338</v>
      </c>
      <c r="C339" s="25" t="n"/>
      <c r="D339" s="26" t="n"/>
    </row>
    <row r="340">
      <c r="A340" t="n">
        <v>339</v>
      </c>
      <c r="C340" s="25" t="n"/>
      <c r="D340" s="26" t="n"/>
    </row>
    <row r="341">
      <c r="A341" t="n">
        <v>340</v>
      </c>
      <c r="C341" s="25" t="n"/>
      <c r="D341" s="26" t="n"/>
    </row>
    <row r="342">
      <c r="A342" t="n">
        <v>341</v>
      </c>
      <c r="C342" s="25" t="n"/>
      <c r="D342" s="26" t="n"/>
    </row>
    <row r="343">
      <c r="A343" t="n">
        <v>342</v>
      </c>
      <c r="C343" s="25" t="n"/>
      <c r="D343" s="26" t="n"/>
    </row>
    <row r="344">
      <c r="A344" t="n">
        <v>343</v>
      </c>
      <c r="C344" s="25" t="n"/>
      <c r="D344" s="26" t="n"/>
    </row>
    <row r="345">
      <c r="A345" t="n">
        <v>344</v>
      </c>
      <c r="C345" s="25" t="n"/>
      <c r="D345" s="26" t="n"/>
    </row>
    <row r="346">
      <c r="A346" t="n">
        <v>345</v>
      </c>
      <c r="C346" s="25" t="n"/>
      <c r="D346" s="26" t="n"/>
    </row>
    <row r="347">
      <c r="A347" t="n">
        <v>346</v>
      </c>
      <c r="C347" s="25" t="n"/>
      <c r="D347" s="26" t="n"/>
    </row>
    <row r="348">
      <c r="A348" t="n">
        <v>347</v>
      </c>
      <c r="C348" s="25" t="n"/>
      <c r="D348" s="26" t="n"/>
    </row>
    <row r="349">
      <c r="A349" t="n">
        <v>348</v>
      </c>
      <c r="C349" s="25" t="n"/>
      <c r="D349" s="26" t="n"/>
    </row>
    <row r="350">
      <c r="A350" t="n">
        <v>349</v>
      </c>
      <c r="C350" s="25" t="n"/>
      <c r="D350" s="26" t="n"/>
    </row>
    <row r="351">
      <c r="A351" t="n">
        <v>350</v>
      </c>
      <c r="C351" s="25" t="n"/>
      <c r="D351" s="26" t="n"/>
    </row>
    <row r="352">
      <c r="A352" t="n">
        <v>351</v>
      </c>
      <c r="C352" s="25" t="n"/>
      <c r="D352" s="26" t="n"/>
    </row>
    <row r="353">
      <c r="A353" t="n">
        <v>352</v>
      </c>
      <c r="C353" s="25" t="n"/>
      <c r="D353" s="26" t="n"/>
    </row>
    <row r="354">
      <c r="A354" t="n">
        <v>353</v>
      </c>
      <c r="C354" s="25" t="n"/>
      <c r="D354" s="26" t="n"/>
    </row>
    <row r="355">
      <c r="A355" t="n">
        <v>354</v>
      </c>
      <c r="C355" s="25" t="n"/>
      <c r="D355" s="26" t="n"/>
    </row>
    <row r="356">
      <c r="A356" t="n">
        <v>355</v>
      </c>
      <c r="C356" s="25" t="n"/>
      <c r="D356" s="26" t="n"/>
    </row>
    <row r="357">
      <c r="A357" t="n">
        <v>356</v>
      </c>
      <c r="C357" s="25" t="n"/>
      <c r="D357" s="26" t="n"/>
    </row>
    <row r="358">
      <c r="A358" t="n">
        <v>357</v>
      </c>
      <c r="C358" s="25" t="n"/>
      <c r="D358" s="26" t="n"/>
    </row>
    <row r="359">
      <c r="A359" t="n">
        <v>358</v>
      </c>
      <c r="C359" s="25" t="n"/>
      <c r="D359" s="26" t="n"/>
    </row>
    <row r="360">
      <c r="A360" t="n">
        <v>359</v>
      </c>
      <c r="C360" s="25" t="n"/>
      <c r="D360" s="26" t="n"/>
    </row>
    <row r="361">
      <c r="A361" t="n">
        <v>360</v>
      </c>
      <c r="C361" s="25" t="n"/>
      <c r="D361" s="26" t="n"/>
    </row>
    <row r="362">
      <c r="A362" t="n">
        <v>361</v>
      </c>
      <c r="C362" s="25" t="n"/>
      <c r="D362" s="26" t="n"/>
    </row>
    <row r="363">
      <c r="A363" t="n">
        <v>362</v>
      </c>
      <c r="C363" s="25" t="n"/>
      <c r="D363" s="26" t="n"/>
    </row>
    <row r="364">
      <c r="A364" t="n">
        <v>363</v>
      </c>
      <c r="C364" s="25" t="n"/>
      <c r="D364" s="26" t="n"/>
    </row>
    <row r="365">
      <c r="A365" t="n">
        <v>364</v>
      </c>
      <c r="C365" s="25" t="n"/>
      <c r="D365" s="26" t="n"/>
    </row>
    <row r="366">
      <c r="A366" t="n">
        <v>365</v>
      </c>
      <c r="C366" s="25" t="n"/>
      <c r="D366" s="26" t="n"/>
    </row>
    <row r="367">
      <c r="A367" t="n">
        <v>366</v>
      </c>
      <c r="C367" s="25" t="n"/>
      <c r="D367" s="26" t="n"/>
    </row>
    <row r="368">
      <c r="A368" t="n">
        <v>367</v>
      </c>
      <c r="C368" s="25" t="n"/>
      <c r="D368" s="26" t="n"/>
    </row>
    <row r="369">
      <c r="A369" t="n">
        <v>368</v>
      </c>
      <c r="C369" s="25" t="n"/>
      <c r="D369" s="26" t="n"/>
    </row>
    <row r="370">
      <c r="A370" t="n">
        <v>369</v>
      </c>
      <c r="C370" s="25" t="n"/>
      <c r="D370" s="26" t="n"/>
    </row>
    <row r="371">
      <c r="A371" t="n">
        <v>370</v>
      </c>
      <c r="C371" s="25" t="n"/>
      <c r="D371" s="26" t="n"/>
    </row>
    <row r="372">
      <c r="A372" t="n">
        <v>371</v>
      </c>
      <c r="C372" s="25" t="n"/>
      <c r="D372" s="26" t="n"/>
    </row>
    <row r="373">
      <c r="A373" t="n">
        <v>372</v>
      </c>
      <c r="C373" s="25" t="n"/>
      <c r="D373" s="26" t="n"/>
    </row>
    <row r="374">
      <c r="A374" t="n">
        <v>373</v>
      </c>
      <c r="C374" s="25" t="n"/>
      <c r="D374" s="26" t="n"/>
    </row>
    <row r="375">
      <c r="A375" t="n">
        <v>374</v>
      </c>
      <c r="C375" s="25" t="n"/>
      <c r="D375" s="26" t="n"/>
    </row>
    <row r="376">
      <c r="A376" t="n">
        <v>375</v>
      </c>
      <c r="C376" s="25" t="n"/>
      <c r="D376" s="26" t="n"/>
    </row>
    <row r="377">
      <c r="A377" t="n">
        <v>376</v>
      </c>
      <c r="C377" s="25" t="n"/>
      <c r="D377" s="26" t="n"/>
    </row>
    <row r="378">
      <c r="A378" t="n">
        <v>377</v>
      </c>
      <c r="C378" s="25" t="n"/>
      <c r="D378" s="26" t="n"/>
    </row>
    <row r="379">
      <c r="A379" t="n">
        <v>378</v>
      </c>
      <c r="C379" s="25" t="n"/>
      <c r="D379" s="26" t="n"/>
    </row>
    <row r="380">
      <c r="A380" t="n">
        <v>379</v>
      </c>
      <c r="C380" s="25" t="n"/>
      <c r="D380" s="26" t="n"/>
    </row>
    <row r="381">
      <c r="A381" t="n">
        <v>380</v>
      </c>
      <c r="C381" s="25" t="n"/>
      <c r="D381" s="26" t="n"/>
    </row>
    <row r="382">
      <c r="A382" t="n">
        <v>381</v>
      </c>
      <c r="C382" s="25" t="n"/>
      <c r="D382" s="26" t="n"/>
    </row>
    <row r="383">
      <c r="A383" t="n">
        <v>382</v>
      </c>
      <c r="C383" s="25" t="n"/>
      <c r="D383" s="26" t="n"/>
    </row>
    <row r="384">
      <c r="A384" t="n">
        <v>383</v>
      </c>
      <c r="C384" s="25" t="n"/>
      <c r="D384" s="26" t="n"/>
    </row>
    <row r="385">
      <c r="A385" t="n">
        <v>384</v>
      </c>
      <c r="C385" s="25" t="n"/>
      <c r="D385" s="26" t="n"/>
    </row>
    <row r="386">
      <c r="A386" t="n">
        <v>385</v>
      </c>
      <c r="C386" s="25" t="n"/>
      <c r="D386" s="26" t="n"/>
    </row>
    <row r="387">
      <c r="A387" t="n">
        <v>386</v>
      </c>
      <c r="C387" s="25" t="n"/>
      <c r="D387" s="26" t="n"/>
    </row>
    <row r="388">
      <c r="A388" t="n">
        <v>387</v>
      </c>
      <c r="C388" s="25" t="n"/>
      <c r="D388" s="26" t="n"/>
    </row>
    <row r="389">
      <c r="A389" t="n">
        <v>388</v>
      </c>
      <c r="C389" s="25" t="n"/>
      <c r="D389" s="26" t="n"/>
    </row>
    <row r="390">
      <c r="A390" t="n">
        <v>389</v>
      </c>
      <c r="C390" s="25" t="n"/>
      <c r="D390" s="26" t="n"/>
    </row>
    <row r="391">
      <c r="A391" t="n">
        <v>390</v>
      </c>
      <c r="C391" s="25" t="n"/>
      <c r="D391" s="26" t="n"/>
    </row>
    <row r="392">
      <c r="A392" t="n">
        <v>391</v>
      </c>
      <c r="C392" s="25" t="n"/>
      <c r="D392" s="26" t="n"/>
    </row>
    <row r="393">
      <c r="A393" t="n">
        <v>392</v>
      </c>
      <c r="C393" s="25" t="n"/>
      <c r="D393" s="26" t="n"/>
    </row>
    <row r="394">
      <c r="A394" t="n">
        <v>393</v>
      </c>
      <c r="C394" s="25" t="n"/>
      <c r="D394" s="26" t="n"/>
    </row>
    <row r="395">
      <c r="A395" t="n">
        <v>394</v>
      </c>
      <c r="C395" s="25" t="n"/>
      <c r="D395" s="26" t="n"/>
    </row>
    <row r="396">
      <c r="A396" t="n">
        <v>395</v>
      </c>
      <c r="C396" s="25" t="n"/>
      <c r="D396" s="26" t="n"/>
    </row>
    <row r="397">
      <c r="A397" t="n">
        <v>396</v>
      </c>
      <c r="C397" s="25" t="n"/>
      <c r="D397" s="26" t="n"/>
    </row>
    <row r="398">
      <c r="A398" t="n">
        <v>397</v>
      </c>
      <c r="C398" s="25" t="n"/>
      <c r="D398" s="26" t="n"/>
    </row>
    <row r="399">
      <c r="A399" t="n">
        <v>398</v>
      </c>
      <c r="C399" s="25" t="n"/>
      <c r="D399" s="26" t="n"/>
    </row>
    <row r="400">
      <c r="A400" t="n">
        <v>399</v>
      </c>
      <c r="C400" s="25" t="n"/>
      <c r="D400" s="26" t="n"/>
    </row>
    <row r="401">
      <c r="A401" t="n">
        <v>400</v>
      </c>
      <c r="C401" s="25" t="n"/>
      <c r="D401" s="26" t="n"/>
    </row>
    <row r="402">
      <c r="A402" t="n">
        <v>401</v>
      </c>
      <c r="C402" s="25" t="n"/>
      <c r="D402" s="26" t="n"/>
    </row>
    <row r="403">
      <c r="A403" t="n">
        <v>402</v>
      </c>
      <c r="C403" s="25" t="n"/>
      <c r="D403" s="26" t="n"/>
    </row>
    <row r="404">
      <c r="A404" t="n">
        <v>403</v>
      </c>
      <c r="C404" s="25" t="n"/>
      <c r="D404" s="26" t="n"/>
    </row>
    <row r="405">
      <c r="A405" t="n">
        <v>404</v>
      </c>
      <c r="C405" s="25" t="n"/>
      <c r="D405" s="26" t="n"/>
    </row>
    <row r="406">
      <c r="A406" t="n">
        <v>405</v>
      </c>
      <c r="C406" s="25" t="n"/>
      <c r="D406" s="26" t="n"/>
    </row>
    <row r="407">
      <c r="A407" t="n">
        <v>406</v>
      </c>
      <c r="C407" s="25" t="n"/>
      <c r="D407" s="26" t="n"/>
    </row>
    <row r="408">
      <c r="A408" t="n">
        <v>407</v>
      </c>
      <c r="C408" s="25" t="n"/>
      <c r="D408" s="26" t="n"/>
    </row>
    <row r="409">
      <c r="A409" t="n">
        <v>408</v>
      </c>
      <c r="C409" s="25" t="n"/>
      <c r="D409" s="26" t="n"/>
    </row>
    <row r="410">
      <c r="A410" t="n">
        <v>409</v>
      </c>
      <c r="C410" s="25" t="n"/>
      <c r="D410" s="26" t="n"/>
    </row>
    <row r="411">
      <c r="A411" t="n">
        <v>410</v>
      </c>
      <c r="C411" s="25" t="n"/>
      <c r="D411" s="26" t="n"/>
    </row>
    <row r="412">
      <c r="A412" t="n">
        <v>411</v>
      </c>
      <c r="C412" s="25" t="n"/>
      <c r="D412" s="26" t="n"/>
    </row>
    <row r="413">
      <c r="A413" t="n">
        <v>412</v>
      </c>
      <c r="C413" s="25" t="n"/>
      <c r="D413" s="26" t="n"/>
    </row>
    <row r="414">
      <c r="A414" t="n">
        <v>413</v>
      </c>
      <c r="C414" s="25" t="n"/>
      <c r="D414" s="26" t="n"/>
    </row>
    <row r="415">
      <c r="A415" t="n">
        <v>414</v>
      </c>
      <c r="C415" s="25" t="n"/>
      <c r="D415" s="26" t="n"/>
    </row>
    <row r="416">
      <c r="A416" t="n">
        <v>415</v>
      </c>
      <c r="C416" s="25" t="n"/>
      <c r="D416" s="26" t="n"/>
    </row>
    <row r="417">
      <c r="A417" t="n">
        <v>416</v>
      </c>
      <c r="C417" s="25" t="n"/>
      <c r="D417" s="26" t="n"/>
    </row>
    <row r="418">
      <c r="A418" t="n">
        <v>417</v>
      </c>
      <c r="C418" s="25" t="n"/>
      <c r="D418" s="26" t="n"/>
    </row>
    <row r="419">
      <c r="A419" t="n">
        <v>418</v>
      </c>
      <c r="C419" s="25" t="n"/>
      <c r="D419" s="26" t="n"/>
    </row>
    <row r="420">
      <c r="A420" t="n">
        <v>419</v>
      </c>
      <c r="C420" s="25" t="n"/>
      <c r="D420" s="26" t="n"/>
    </row>
    <row r="421">
      <c r="A421" t="n">
        <v>420</v>
      </c>
      <c r="C421" s="25" t="n"/>
      <c r="D421" s="26" t="n"/>
    </row>
    <row r="422">
      <c r="A422" t="n">
        <v>421</v>
      </c>
      <c r="C422" s="25" t="n"/>
      <c r="D422" s="26" t="n"/>
    </row>
    <row r="423">
      <c r="A423" t="n">
        <v>422</v>
      </c>
      <c r="C423" s="25" t="n"/>
      <c r="D423" s="26" t="n"/>
    </row>
    <row r="424">
      <c r="A424" t="n">
        <v>423</v>
      </c>
      <c r="C424" s="25" t="n"/>
      <c r="D424" s="26" t="n"/>
    </row>
    <row r="425">
      <c r="A425" t="n">
        <v>424</v>
      </c>
      <c r="C425" s="25" t="n"/>
      <c r="D425" s="26" t="n"/>
    </row>
    <row r="426">
      <c r="A426" t="n">
        <v>425</v>
      </c>
      <c r="C426" s="25" t="n"/>
      <c r="D426" s="26" t="n"/>
    </row>
    <row r="427">
      <c r="A427" t="n">
        <v>426</v>
      </c>
      <c r="C427" s="25" t="n"/>
      <c r="D427" s="26" t="n"/>
    </row>
    <row r="428">
      <c r="A428" t="n">
        <v>427</v>
      </c>
      <c r="C428" s="25" t="n"/>
      <c r="D428" s="26" t="n"/>
    </row>
    <row r="429">
      <c r="A429" t="n">
        <v>428</v>
      </c>
      <c r="C429" s="25" t="n"/>
      <c r="D429" s="26" t="n"/>
    </row>
    <row r="430">
      <c r="A430" t="n">
        <v>429</v>
      </c>
      <c r="C430" s="25" t="n"/>
      <c r="D430" s="26" t="n"/>
    </row>
    <row r="431">
      <c r="A431" t="n">
        <v>430</v>
      </c>
      <c r="C431" s="25" t="n"/>
      <c r="D431" s="26" t="n"/>
    </row>
    <row r="432">
      <c r="A432" t="n">
        <v>431</v>
      </c>
      <c r="C432" s="25" t="n"/>
      <c r="D432" s="26" t="n"/>
    </row>
    <row r="433">
      <c r="A433" t="n">
        <v>432</v>
      </c>
      <c r="C433" s="25" t="n"/>
      <c r="D433" s="26" t="n"/>
    </row>
    <row r="434">
      <c r="A434" t="n">
        <v>433</v>
      </c>
      <c r="C434" s="25" t="n"/>
      <c r="D434" s="26" t="n"/>
    </row>
    <row r="435">
      <c r="A435" t="n">
        <v>434</v>
      </c>
      <c r="C435" s="25" t="n"/>
      <c r="D435" s="26" t="n"/>
    </row>
    <row r="436">
      <c r="A436" t="n">
        <v>435</v>
      </c>
      <c r="C436" s="25" t="n"/>
      <c r="D436" s="26" t="n"/>
    </row>
    <row r="437">
      <c r="A437" t="n">
        <v>436</v>
      </c>
      <c r="C437" s="25" t="n"/>
      <c r="D437" s="26" t="n"/>
    </row>
    <row r="438">
      <c r="A438" t="n">
        <v>437</v>
      </c>
      <c r="C438" s="25" t="n"/>
      <c r="D438" s="26" t="n"/>
    </row>
    <row r="439">
      <c r="A439" t="n">
        <v>438</v>
      </c>
      <c r="C439" s="25" t="n"/>
      <c r="D439" s="26" t="n"/>
    </row>
    <row r="440">
      <c r="A440" t="n">
        <v>439</v>
      </c>
      <c r="C440" s="25" t="n"/>
      <c r="D440" s="26" t="n"/>
    </row>
    <row r="441">
      <c r="A441" t="n">
        <v>440</v>
      </c>
      <c r="C441" s="25" t="n"/>
      <c r="D441" s="26" t="n"/>
    </row>
    <row r="442">
      <c r="A442" t="n">
        <v>441</v>
      </c>
      <c r="C442" s="25" t="n"/>
      <c r="D442" s="26" t="n"/>
    </row>
    <row r="443">
      <c r="A443" t="n">
        <v>442</v>
      </c>
      <c r="C443" s="25" t="n"/>
      <c r="D443" s="26" t="n"/>
    </row>
    <row r="444">
      <c r="A444" t="n">
        <v>443</v>
      </c>
      <c r="C444" s="25" t="n"/>
      <c r="D444" s="26" t="n"/>
    </row>
    <row r="445">
      <c r="A445" t="n">
        <v>444</v>
      </c>
      <c r="C445" s="25" t="n"/>
      <c r="D445" s="26" t="n"/>
    </row>
    <row r="446">
      <c r="A446" t="n">
        <v>445</v>
      </c>
      <c r="C446" s="25" t="n"/>
      <c r="D446" s="26" t="n"/>
    </row>
    <row r="447">
      <c r="A447" t="n">
        <v>446</v>
      </c>
      <c r="C447" s="25" t="n"/>
      <c r="D447" s="26" t="n"/>
    </row>
    <row r="448">
      <c r="A448" t="n">
        <v>447</v>
      </c>
      <c r="C448" s="25" t="n"/>
      <c r="D448" s="26" t="n"/>
    </row>
    <row r="449">
      <c r="A449" t="n">
        <v>448</v>
      </c>
      <c r="C449" s="25" t="n"/>
      <c r="D449" s="26" t="n"/>
    </row>
    <row r="450">
      <c r="A450" t="n">
        <v>449</v>
      </c>
      <c r="C450" s="25" t="n"/>
      <c r="D450" s="26" t="n"/>
    </row>
    <row r="451">
      <c r="A451" t="n">
        <v>450</v>
      </c>
      <c r="C451" s="25" t="n"/>
      <c r="D451" s="26" t="n"/>
    </row>
    <row r="452">
      <c r="A452" t="n">
        <v>451</v>
      </c>
      <c r="C452" s="25" t="n"/>
      <c r="D452" s="26" t="n"/>
    </row>
    <row r="453">
      <c r="A453" t="n">
        <v>452</v>
      </c>
      <c r="C453" s="25" t="n"/>
      <c r="D453" s="26" t="n"/>
    </row>
    <row r="454">
      <c r="A454" t="n">
        <v>453</v>
      </c>
      <c r="C454" s="25" t="n"/>
      <c r="D454" s="26" t="n"/>
    </row>
    <row r="455">
      <c r="A455" t="n">
        <v>454</v>
      </c>
      <c r="C455" s="25" t="n"/>
      <c r="D455" s="26" t="n"/>
    </row>
    <row r="456">
      <c r="A456" t="n">
        <v>455</v>
      </c>
      <c r="C456" s="25" t="n"/>
      <c r="D456" s="26" t="n"/>
    </row>
    <row r="457">
      <c r="A457" t="n">
        <v>456</v>
      </c>
      <c r="C457" s="25" t="n"/>
      <c r="D457" s="26" t="n"/>
    </row>
    <row r="458">
      <c r="A458" t="n">
        <v>457</v>
      </c>
      <c r="C458" s="25" t="n"/>
      <c r="D458" s="26" t="n"/>
    </row>
    <row r="459">
      <c r="A459" t="n">
        <v>458</v>
      </c>
      <c r="C459" s="25" t="n"/>
      <c r="D459" s="26" t="n"/>
    </row>
    <row r="460">
      <c r="A460" t="n">
        <v>459</v>
      </c>
      <c r="C460" s="25" t="n"/>
      <c r="D460" s="26" t="n"/>
    </row>
    <row r="461">
      <c r="A461" t="n">
        <v>460</v>
      </c>
      <c r="C461" s="25" t="n"/>
      <c r="D461" s="26" t="n"/>
    </row>
    <row r="462">
      <c r="A462" t="n">
        <v>461</v>
      </c>
      <c r="C462" s="25" t="n"/>
      <c r="D462" s="26" t="n"/>
    </row>
    <row r="463">
      <c r="A463" t="n">
        <v>462</v>
      </c>
      <c r="C463" s="25" t="n"/>
      <c r="D463" s="26" t="n"/>
    </row>
    <row r="464">
      <c r="A464" t="n">
        <v>463</v>
      </c>
      <c r="C464" s="25" t="n"/>
      <c r="D464" s="26" t="n"/>
    </row>
    <row r="465">
      <c r="A465" t="n">
        <v>464</v>
      </c>
      <c r="C465" s="25" t="n"/>
      <c r="D465" s="26" t="n"/>
    </row>
    <row r="466">
      <c r="A466" t="n">
        <v>465</v>
      </c>
      <c r="C466" s="25" t="n"/>
      <c r="D466" s="26" t="n"/>
    </row>
    <row r="467">
      <c r="A467" t="n">
        <v>466</v>
      </c>
      <c r="C467" s="25" t="n"/>
      <c r="D467" s="26" t="n"/>
    </row>
    <row r="468">
      <c r="A468" t="n">
        <v>467</v>
      </c>
      <c r="C468" s="25" t="n"/>
      <c r="D468" s="26" t="n"/>
    </row>
    <row r="469">
      <c r="A469" t="n">
        <v>468</v>
      </c>
      <c r="C469" s="25" t="n"/>
      <c r="D469" s="26" t="n"/>
    </row>
    <row r="470">
      <c r="A470" t="n">
        <v>469</v>
      </c>
      <c r="C470" s="25" t="n"/>
      <c r="D470" s="26" t="n"/>
    </row>
    <row r="471">
      <c r="A471" t="n">
        <v>470</v>
      </c>
      <c r="C471" s="25" t="n"/>
      <c r="D471" s="26" t="n"/>
    </row>
    <row r="472">
      <c r="A472" t="n">
        <v>471</v>
      </c>
      <c r="C472" s="25" t="n"/>
      <c r="D472" s="26" t="n"/>
    </row>
    <row r="473">
      <c r="A473" t="n">
        <v>472</v>
      </c>
      <c r="C473" s="25" t="n"/>
      <c r="D473" s="26" t="n"/>
    </row>
    <row r="474">
      <c r="A474" t="n">
        <v>473</v>
      </c>
      <c r="C474" s="25" t="n"/>
      <c r="D474" s="26" t="n"/>
    </row>
    <row r="475">
      <c r="A475" t="n">
        <v>474</v>
      </c>
      <c r="C475" s="25" t="n"/>
      <c r="D475" s="26" t="n"/>
    </row>
    <row r="476">
      <c r="A476" t="n">
        <v>475</v>
      </c>
      <c r="C476" s="25" t="n"/>
      <c r="D476" s="26" t="n"/>
    </row>
    <row r="477">
      <c r="A477" t="n">
        <v>476</v>
      </c>
      <c r="C477" s="25" t="n"/>
      <c r="D477" s="26" t="n"/>
    </row>
    <row r="478">
      <c r="A478" t="n">
        <v>477</v>
      </c>
      <c r="C478" s="25" t="n"/>
      <c r="D478" s="26" t="n"/>
    </row>
    <row r="479">
      <c r="A479" t="n">
        <v>478</v>
      </c>
      <c r="C479" s="25" t="n"/>
      <c r="D479" s="26" t="n"/>
    </row>
    <row r="480">
      <c r="A480" t="n">
        <v>479</v>
      </c>
      <c r="C480" s="25" t="n"/>
      <c r="D480" s="26" t="n"/>
    </row>
    <row r="481">
      <c r="A481" t="n">
        <v>480</v>
      </c>
      <c r="C481" s="25" t="n"/>
      <c r="D481" s="26" t="n"/>
    </row>
    <row r="482">
      <c r="A482" t="n">
        <v>481</v>
      </c>
      <c r="C482" s="25" t="n"/>
      <c r="D482" s="26" t="n"/>
    </row>
    <row r="483">
      <c r="A483" t="n">
        <v>482</v>
      </c>
      <c r="C483" s="25" t="n"/>
      <c r="D483" s="26" t="n"/>
    </row>
    <row r="484">
      <c r="A484" t="n">
        <v>483</v>
      </c>
      <c r="C484" s="25" t="n"/>
      <c r="D484" s="26" t="n"/>
    </row>
    <row r="485">
      <c r="A485" t="n">
        <v>484</v>
      </c>
      <c r="C485" s="25" t="n"/>
      <c r="D485" s="26" t="n"/>
    </row>
    <row r="486">
      <c r="A486" t="n">
        <v>485</v>
      </c>
      <c r="C486" s="25" t="n"/>
      <c r="D486" s="26" t="n"/>
    </row>
    <row r="487">
      <c r="A487" t="n">
        <v>486</v>
      </c>
      <c r="C487" s="25" t="n"/>
      <c r="D487" s="26" t="n"/>
    </row>
    <row r="488">
      <c r="A488" t="n">
        <v>487</v>
      </c>
      <c r="C488" s="25" t="n"/>
      <c r="D488" s="26" t="n"/>
    </row>
    <row r="489">
      <c r="A489" t="n">
        <v>488</v>
      </c>
      <c r="C489" s="25" t="n"/>
      <c r="D489" s="26" t="n"/>
    </row>
    <row r="490">
      <c r="A490" t="n">
        <v>489</v>
      </c>
      <c r="C490" s="25" t="n"/>
      <c r="D490" s="26" t="n"/>
    </row>
    <row r="491">
      <c r="A491" t="n">
        <v>490</v>
      </c>
      <c r="C491" s="25" t="n"/>
      <c r="D491" s="26" t="n"/>
    </row>
    <row r="492">
      <c r="A492" t="n">
        <v>491</v>
      </c>
      <c r="C492" s="25" t="n"/>
      <c r="D492" s="26" t="n"/>
    </row>
    <row r="493">
      <c r="A493" t="n">
        <v>492</v>
      </c>
      <c r="C493" s="25" t="n"/>
      <c r="D493" s="26" t="n"/>
    </row>
    <row r="494">
      <c r="A494" t="n">
        <v>493</v>
      </c>
      <c r="C494" s="25" t="n"/>
      <c r="D494" s="26" t="n"/>
    </row>
    <row r="495">
      <c r="A495" t="n">
        <v>494</v>
      </c>
      <c r="C495" s="25" t="n"/>
      <c r="D495" s="26" t="n"/>
    </row>
    <row r="496">
      <c r="A496" t="n">
        <v>495</v>
      </c>
      <c r="C496" s="25" t="n"/>
      <c r="D496" s="26" t="n"/>
    </row>
    <row r="497">
      <c r="A497" t="n">
        <v>496</v>
      </c>
      <c r="C497" s="25" t="n"/>
      <c r="D497" s="26" t="n"/>
    </row>
    <row r="498">
      <c r="A498" t="n">
        <v>497</v>
      </c>
      <c r="C498" s="25" t="n"/>
      <c r="D498" s="26" t="n"/>
    </row>
    <row r="499">
      <c r="A499" t="n">
        <v>498</v>
      </c>
      <c r="C499" s="25" t="n"/>
      <c r="D499" s="26" t="n"/>
    </row>
    <row r="500">
      <c r="A500" t="n">
        <v>499</v>
      </c>
      <c r="C500" s="25" t="n"/>
      <c r="D500" s="26" t="n"/>
    </row>
    <row r="501">
      <c r="A501" t="n">
        <v>500</v>
      </c>
      <c r="C501" s="25" t="n"/>
      <c r="D501" s="26" t="n"/>
    </row>
    <row r="502">
      <c r="A502" t="n">
        <v>501</v>
      </c>
      <c r="C502" s="25" t="n"/>
      <c r="D502" s="26" t="n"/>
    </row>
    <row r="503">
      <c r="A503" t="n">
        <v>502</v>
      </c>
      <c r="C503" s="25" t="n"/>
      <c r="D503" s="26" t="n"/>
    </row>
    <row r="504">
      <c r="A504" t="n">
        <v>503</v>
      </c>
      <c r="C504" s="25" t="n"/>
      <c r="D504" s="26" t="n"/>
    </row>
    <row r="505">
      <c r="A505" t="n">
        <v>504</v>
      </c>
      <c r="C505" s="25" t="n"/>
      <c r="D505" s="26" t="n"/>
    </row>
    <row r="506">
      <c r="A506" t="n">
        <v>505</v>
      </c>
      <c r="C506" s="25" t="n"/>
      <c r="D506" s="26" t="n"/>
    </row>
    <row r="507">
      <c r="A507" t="n">
        <v>506</v>
      </c>
      <c r="C507" s="25" t="n"/>
      <c r="D507" s="26" t="n"/>
    </row>
    <row r="508">
      <c r="A508" t="n">
        <v>507</v>
      </c>
      <c r="C508" s="25" t="n"/>
      <c r="D508" s="26" t="n"/>
    </row>
    <row r="509">
      <c r="A509" t="n">
        <v>508</v>
      </c>
      <c r="C509" s="25" t="n"/>
      <c r="D509" s="26" t="n"/>
    </row>
    <row r="510">
      <c r="A510" t="n">
        <v>509</v>
      </c>
      <c r="C510" s="25" t="n"/>
      <c r="D510" s="26" t="n"/>
    </row>
    <row r="511">
      <c r="A511" t="n">
        <v>510</v>
      </c>
      <c r="C511" s="25" t="n"/>
      <c r="D511" s="26" t="n"/>
    </row>
    <row r="512">
      <c r="A512" t="n">
        <v>511</v>
      </c>
      <c r="C512" s="25" t="n"/>
      <c r="D512" s="26" t="n"/>
    </row>
    <row r="513">
      <c r="A513" t="n">
        <v>512</v>
      </c>
      <c r="C513" s="25" t="n"/>
      <c r="D513" s="26" t="n"/>
    </row>
    <row r="514">
      <c r="A514" t="n">
        <v>513</v>
      </c>
      <c r="C514" s="25" t="n"/>
      <c r="D514" s="26" t="n"/>
    </row>
    <row r="515">
      <c r="A515" t="n">
        <v>514</v>
      </c>
      <c r="C515" s="25" t="n"/>
      <c r="D515" s="26" t="n"/>
    </row>
    <row r="516">
      <c r="A516" t="n">
        <v>515</v>
      </c>
      <c r="C516" s="25" t="n"/>
      <c r="D516" s="26" t="n"/>
    </row>
    <row r="517">
      <c r="A517" t="n">
        <v>516</v>
      </c>
      <c r="C517" s="25" t="n"/>
      <c r="D517" s="26" t="n"/>
    </row>
    <row r="518">
      <c r="A518" t="n">
        <v>517</v>
      </c>
      <c r="C518" s="25" t="n"/>
      <c r="D518" s="26" t="n"/>
    </row>
    <row r="519">
      <c r="A519" t="n">
        <v>518</v>
      </c>
      <c r="C519" s="25" t="n"/>
      <c r="D519" s="26" t="n"/>
    </row>
    <row r="520">
      <c r="A520" t="n">
        <v>519</v>
      </c>
      <c r="C520" s="25" t="n"/>
      <c r="D520" s="26" t="n"/>
    </row>
    <row r="521">
      <c r="A521" t="n">
        <v>520</v>
      </c>
      <c r="C521" s="25" t="n"/>
      <c r="D521" s="26" t="n"/>
    </row>
    <row r="522">
      <c r="A522" t="n">
        <v>521</v>
      </c>
      <c r="C522" s="25" t="n"/>
      <c r="D522" s="26" t="n"/>
    </row>
    <row r="523">
      <c r="A523" t="n">
        <v>522</v>
      </c>
      <c r="C523" s="25" t="n"/>
      <c r="D523" s="26" t="n"/>
    </row>
    <row r="524">
      <c r="A524" t="n">
        <v>523</v>
      </c>
      <c r="C524" s="25" t="n"/>
      <c r="D524" s="26" t="n"/>
    </row>
    <row r="525">
      <c r="A525" t="n">
        <v>524</v>
      </c>
      <c r="C525" s="25" t="n"/>
      <c r="D525" s="26" t="n"/>
    </row>
    <row r="526">
      <c r="A526" t="n">
        <v>525</v>
      </c>
      <c r="C526" s="25" t="n"/>
      <c r="D526" s="26" t="n"/>
    </row>
    <row r="527">
      <c r="A527" t="n">
        <v>526</v>
      </c>
      <c r="C527" s="25" t="n"/>
      <c r="D527" s="26" t="n"/>
    </row>
    <row r="528">
      <c r="A528" t="n">
        <v>527</v>
      </c>
      <c r="C528" s="25" t="n"/>
      <c r="D528" s="26" t="n"/>
    </row>
    <row r="529">
      <c r="A529" t="n">
        <v>528</v>
      </c>
      <c r="C529" s="25" t="n"/>
      <c r="D529" s="26" t="n"/>
    </row>
    <row r="530">
      <c r="A530" t="n">
        <v>529</v>
      </c>
      <c r="C530" s="25" t="n"/>
      <c r="D530" s="26" t="n"/>
    </row>
    <row r="531">
      <c r="A531" t="n">
        <v>530</v>
      </c>
      <c r="C531" s="25" t="n"/>
      <c r="D531" s="26" t="n"/>
    </row>
    <row r="532">
      <c r="A532" t="n">
        <v>531</v>
      </c>
      <c r="C532" s="25" t="n"/>
      <c r="D532" s="26" t="n"/>
    </row>
    <row r="533">
      <c r="A533" t="n">
        <v>532</v>
      </c>
      <c r="C533" s="25" t="n"/>
      <c r="D533" s="26" t="n"/>
    </row>
    <row r="534">
      <c r="A534" t="n">
        <v>533</v>
      </c>
      <c r="C534" s="25" t="n"/>
      <c r="D534" s="26" t="n"/>
    </row>
    <row r="535">
      <c r="A535" t="n">
        <v>534</v>
      </c>
      <c r="C535" s="25" t="n"/>
      <c r="D535" s="26" t="n"/>
    </row>
    <row r="536">
      <c r="A536" t="n">
        <v>535</v>
      </c>
      <c r="C536" s="25" t="n"/>
      <c r="D536" s="26" t="n"/>
    </row>
    <row r="537">
      <c r="A537" t="n">
        <v>536</v>
      </c>
      <c r="C537" s="25" t="n"/>
      <c r="D537" s="26" t="n"/>
    </row>
    <row r="538">
      <c r="A538" t="n">
        <v>537</v>
      </c>
      <c r="C538" s="25" t="n"/>
      <c r="D538" s="26" t="n"/>
    </row>
    <row r="539">
      <c r="A539" t="n">
        <v>538</v>
      </c>
      <c r="C539" s="25" t="n"/>
      <c r="D539" s="26" t="n"/>
    </row>
    <row r="540">
      <c r="A540" t="n">
        <v>539</v>
      </c>
      <c r="C540" s="25" t="n"/>
      <c r="D540" s="26" t="n"/>
    </row>
    <row r="541">
      <c r="A541" t="n">
        <v>540</v>
      </c>
      <c r="C541" s="25" t="n"/>
      <c r="D541" s="26" t="n"/>
    </row>
    <row r="542">
      <c r="A542" t="n">
        <v>541</v>
      </c>
      <c r="C542" s="25" t="n"/>
      <c r="D542" s="26" t="n"/>
    </row>
    <row r="543">
      <c r="A543" t="n">
        <v>542</v>
      </c>
      <c r="C543" s="25" t="n"/>
      <c r="D543" s="26" t="n"/>
    </row>
    <row r="544">
      <c r="A544" t="n">
        <v>543</v>
      </c>
      <c r="C544" s="25" t="n"/>
      <c r="D544" s="26" t="n"/>
    </row>
    <row r="545">
      <c r="A545" t="n">
        <v>544</v>
      </c>
      <c r="C545" s="25" t="n"/>
      <c r="D545" s="26" t="n"/>
    </row>
    <row r="546">
      <c r="A546" t="n">
        <v>545</v>
      </c>
      <c r="C546" s="25" t="n"/>
      <c r="D546" s="26" t="n"/>
    </row>
    <row r="547">
      <c r="A547" t="n">
        <v>546</v>
      </c>
      <c r="C547" s="25" t="n"/>
      <c r="D547" s="26" t="n"/>
    </row>
    <row r="548">
      <c r="A548" t="n">
        <v>547</v>
      </c>
      <c r="C548" s="25" t="n"/>
      <c r="D548" s="26" t="n"/>
    </row>
    <row r="549">
      <c r="A549" t="n">
        <v>548</v>
      </c>
      <c r="C549" s="25" t="n"/>
      <c r="D549" s="26" t="n"/>
    </row>
    <row r="550">
      <c r="A550" t="n">
        <v>549</v>
      </c>
      <c r="C550" s="25" t="n"/>
      <c r="D550" s="26" t="n"/>
    </row>
    <row r="551">
      <c r="A551" t="n">
        <v>550</v>
      </c>
      <c r="C551" s="25" t="n"/>
      <c r="D551" s="26" t="n"/>
    </row>
    <row r="552">
      <c r="A552" t="n">
        <v>551</v>
      </c>
      <c r="C552" s="25" t="n"/>
      <c r="D552" s="26" t="n"/>
    </row>
    <row r="553">
      <c r="A553" t="n">
        <v>552</v>
      </c>
      <c r="C553" s="25" t="n"/>
      <c r="D553" s="26" t="n"/>
    </row>
    <row r="554">
      <c r="A554" t="n">
        <v>553</v>
      </c>
      <c r="C554" s="25" t="n"/>
      <c r="D554" s="26" t="n"/>
    </row>
    <row r="555">
      <c r="A555" t="n">
        <v>554</v>
      </c>
      <c r="C555" s="25" t="n"/>
      <c r="D555" s="26" t="n"/>
    </row>
    <row r="556">
      <c r="A556" t="n">
        <v>555</v>
      </c>
      <c r="C556" s="25" t="n"/>
      <c r="D556" s="26" t="n"/>
    </row>
    <row r="557">
      <c r="A557" t="n">
        <v>556</v>
      </c>
      <c r="C557" s="25" t="n"/>
      <c r="D557" s="26" t="n"/>
    </row>
    <row r="558">
      <c r="A558" t="n">
        <v>557</v>
      </c>
      <c r="C558" s="25" t="n"/>
      <c r="D558" s="26" t="n"/>
    </row>
    <row r="559">
      <c r="A559" t="n">
        <v>558</v>
      </c>
      <c r="C559" s="25" t="n"/>
      <c r="D559" s="26" t="n"/>
    </row>
    <row r="560">
      <c r="A560" t="n">
        <v>559</v>
      </c>
      <c r="C560" s="25" t="n"/>
      <c r="D560" s="26" t="n"/>
    </row>
    <row r="561">
      <c r="A561" t="n">
        <v>560</v>
      </c>
      <c r="C561" s="25" t="n"/>
      <c r="D561" s="26" t="n"/>
    </row>
    <row r="562">
      <c r="A562" t="n">
        <v>561</v>
      </c>
      <c r="C562" s="25" t="n"/>
      <c r="D562" s="26" t="n"/>
    </row>
    <row r="563">
      <c r="A563" t="n">
        <v>562</v>
      </c>
      <c r="C563" s="25" t="n"/>
      <c r="D563" s="26" t="n"/>
    </row>
    <row r="564">
      <c r="A564" t="n">
        <v>563</v>
      </c>
      <c r="C564" s="25" t="n"/>
      <c r="D564" s="26" t="n"/>
    </row>
    <row r="565">
      <c r="A565" t="n">
        <v>564</v>
      </c>
      <c r="C565" s="25" t="n"/>
      <c r="D565" s="26" t="n"/>
    </row>
    <row r="566">
      <c r="A566" t="n">
        <v>565</v>
      </c>
      <c r="C566" s="25" t="n"/>
      <c r="D566" s="26" t="n"/>
    </row>
    <row r="567">
      <c r="A567" t="n">
        <v>566</v>
      </c>
      <c r="C567" s="25" t="n"/>
      <c r="D567" s="26" t="n"/>
    </row>
    <row r="568">
      <c r="A568" t="n">
        <v>567</v>
      </c>
      <c r="C568" s="25" t="n"/>
      <c r="D568" s="26" t="n"/>
    </row>
    <row r="569">
      <c r="A569" t="n">
        <v>568</v>
      </c>
      <c r="C569" s="25" t="n"/>
      <c r="D569" s="26" t="n"/>
    </row>
    <row r="570">
      <c r="A570" t="n">
        <v>569</v>
      </c>
      <c r="C570" s="25" t="n"/>
      <c r="D570" s="26" t="n"/>
    </row>
    <row r="571">
      <c r="A571" t="n">
        <v>570</v>
      </c>
      <c r="C571" s="25" t="n"/>
      <c r="D571" s="26" t="n"/>
    </row>
    <row r="572">
      <c r="A572" t="n">
        <v>571</v>
      </c>
      <c r="C572" s="25" t="n"/>
      <c r="D572" s="26" t="n"/>
    </row>
    <row r="573">
      <c r="A573" t="n">
        <v>572</v>
      </c>
      <c r="C573" s="25" t="n"/>
      <c r="D573" s="26" t="n"/>
    </row>
    <row r="574">
      <c r="A574" t="n">
        <v>573</v>
      </c>
      <c r="C574" s="25" t="n"/>
      <c r="D574" s="26" t="n"/>
    </row>
    <row r="575">
      <c r="A575" t="n">
        <v>574</v>
      </c>
      <c r="C575" s="25" t="n"/>
      <c r="D575" s="26" t="n"/>
    </row>
    <row r="576">
      <c r="A576" t="n">
        <v>575</v>
      </c>
      <c r="C576" s="25" t="n"/>
      <c r="D576" s="26" t="n"/>
    </row>
    <row r="577">
      <c r="A577" t="n">
        <v>576</v>
      </c>
      <c r="C577" s="25" t="n"/>
      <c r="D577" s="26" t="n"/>
    </row>
    <row r="578">
      <c r="A578" t="n">
        <v>577</v>
      </c>
      <c r="C578" s="25" t="n"/>
      <c r="D578" s="26" t="n"/>
    </row>
    <row r="579">
      <c r="A579" t="n">
        <v>578</v>
      </c>
      <c r="C579" s="25" t="n"/>
      <c r="D579" s="26" t="n"/>
    </row>
    <row r="580">
      <c r="A580" t="n">
        <v>579</v>
      </c>
      <c r="C580" s="25" t="n"/>
      <c r="D580" s="26" t="n"/>
    </row>
    <row r="581">
      <c r="A581" t="n">
        <v>580</v>
      </c>
      <c r="C581" s="25" t="n"/>
      <c r="D581" s="26" t="n"/>
    </row>
    <row r="582">
      <c r="A582" t="n">
        <v>581</v>
      </c>
      <c r="C582" s="25" t="n"/>
      <c r="D582" s="26" t="n"/>
    </row>
    <row r="583">
      <c r="A583" t="n">
        <v>582</v>
      </c>
      <c r="C583" s="25" t="n"/>
      <c r="D583" s="26" t="n"/>
    </row>
    <row r="584">
      <c r="A584" t="n">
        <v>583</v>
      </c>
      <c r="C584" s="25" t="n"/>
      <c r="D584" s="26" t="n"/>
    </row>
    <row r="585">
      <c r="A585" t="n">
        <v>584</v>
      </c>
      <c r="C585" s="25" t="n"/>
      <c r="D585" s="26" t="n"/>
    </row>
    <row r="586">
      <c r="A586" t="n">
        <v>585</v>
      </c>
      <c r="C586" s="25" t="n"/>
      <c r="D586" s="26" t="n"/>
    </row>
    <row r="587">
      <c r="A587" t="n">
        <v>586</v>
      </c>
      <c r="C587" s="25" t="n"/>
      <c r="D587" s="26" t="n"/>
    </row>
    <row r="588">
      <c r="A588" t="n">
        <v>587</v>
      </c>
      <c r="C588" s="25" t="n"/>
      <c r="D588" s="26" t="n"/>
    </row>
    <row r="589">
      <c r="A589" t="n">
        <v>588</v>
      </c>
      <c r="C589" s="25" t="n"/>
      <c r="D589" s="26" t="n"/>
    </row>
    <row r="590">
      <c r="A590" t="n">
        <v>589</v>
      </c>
      <c r="C590" s="25" t="n"/>
      <c r="D590" s="26" t="n"/>
    </row>
    <row r="591">
      <c r="A591" t="n">
        <v>590</v>
      </c>
      <c r="C591" s="25" t="n"/>
      <c r="D591" s="26" t="n"/>
    </row>
    <row r="592">
      <c r="A592" t="n">
        <v>591</v>
      </c>
      <c r="C592" s="25" t="n"/>
      <c r="D592" s="26" t="n"/>
    </row>
    <row r="593">
      <c r="A593" t="n">
        <v>592</v>
      </c>
      <c r="C593" s="25" t="n"/>
      <c r="D593" s="26" t="n"/>
    </row>
    <row r="594">
      <c r="A594" t="n">
        <v>593</v>
      </c>
      <c r="C594" s="25" t="n"/>
      <c r="D594" s="26" t="n"/>
    </row>
    <row r="595">
      <c r="A595" t="n">
        <v>594</v>
      </c>
      <c r="C595" s="25" t="n"/>
      <c r="D595" s="26" t="n"/>
    </row>
    <row r="596">
      <c r="A596" t="n">
        <v>595</v>
      </c>
      <c r="C596" s="25" t="n"/>
      <c r="D596" s="26" t="n"/>
    </row>
    <row r="597">
      <c r="A597" t="n">
        <v>596</v>
      </c>
      <c r="C597" s="25" t="n"/>
      <c r="D597" s="26" t="n"/>
    </row>
    <row r="598">
      <c r="A598" t="n">
        <v>597</v>
      </c>
      <c r="C598" s="25" t="n"/>
      <c r="D598" s="26" t="n"/>
    </row>
    <row r="599">
      <c r="A599" t="n">
        <v>598</v>
      </c>
      <c r="C599" s="25" t="n"/>
      <c r="D599" s="26" t="n"/>
    </row>
    <row r="600">
      <c r="A600" t="n">
        <v>599</v>
      </c>
      <c r="C600" s="25" t="n"/>
      <c r="D600" s="26" t="n"/>
    </row>
    <row r="601">
      <c r="A601" t="n">
        <v>600</v>
      </c>
      <c r="C601" s="25" t="n"/>
      <c r="D601" s="26" t="n"/>
    </row>
    <row r="602">
      <c r="A602" t="n">
        <v>601</v>
      </c>
      <c r="C602" s="25" t="n"/>
      <c r="D602" s="26" t="n"/>
    </row>
    <row r="603">
      <c r="A603" t="n">
        <v>602</v>
      </c>
      <c r="C603" s="25" t="n"/>
      <c r="D603" s="26" t="n"/>
    </row>
    <row r="604">
      <c r="A604" t="n">
        <v>603</v>
      </c>
      <c r="C604" s="25" t="n"/>
      <c r="D604" s="26" t="n"/>
    </row>
    <row r="605">
      <c r="A605" t="n">
        <v>604</v>
      </c>
      <c r="C605" s="25" t="n"/>
      <c r="D605" s="26" t="n"/>
    </row>
    <row r="606">
      <c r="A606" t="n">
        <v>605</v>
      </c>
      <c r="C606" s="25" t="n"/>
      <c r="D606" s="26" t="n"/>
    </row>
    <row r="607">
      <c r="A607" t="n">
        <v>606</v>
      </c>
      <c r="C607" s="25" t="n"/>
      <c r="D607" s="26" t="n"/>
    </row>
    <row r="608">
      <c r="A608" t="n">
        <v>607</v>
      </c>
      <c r="C608" s="25" t="n"/>
      <c r="D608" s="26" t="n"/>
    </row>
    <row r="609">
      <c r="A609" t="n">
        <v>608</v>
      </c>
      <c r="C609" s="25" t="n"/>
      <c r="D609" s="26" t="n"/>
    </row>
    <row r="610">
      <c r="A610" t="n">
        <v>609</v>
      </c>
      <c r="C610" s="25" t="n"/>
      <c r="D610" s="26" t="n"/>
    </row>
    <row r="611">
      <c r="A611" t="n">
        <v>610</v>
      </c>
      <c r="C611" s="25" t="n"/>
      <c r="D611" s="26" t="n"/>
    </row>
    <row r="612">
      <c r="A612" t="n">
        <v>611</v>
      </c>
      <c r="C612" s="25" t="n"/>
      <c r="D612" s="26" t="n"/>
    </row>
    <row r="613">
      <c r="A613" t="n">
        <v>612</v>
      </c>
      <c r="C613" s="25" t="n"/>
      <c r="D613" s="26" t="n"/>
    </row>
    <row r="614">
      <c r="A614" t="n">
        <v>613</v>
      </c>
      <c r="C614" s="25" t="n"/>
      <c r="D614" s="26" t="n"/>
    </row>
    <row r="615">
      <c r="A615" t="n">
        <v>614</v>
      </c>
      <c r="C615" s="25" t="n"/>
      <c r="D615" s="26" t="n"/>
    </row>
    <row r="616">
      <c r="A616" t="n">
        <v>615</v>
      </c>
      <c r="C616" s="25" t="n"/>
      <c r="D616" s="26" t="n"/>
    </row>
    <row r="617">
      <c r="A617" t="n">
        <v>616</v>
      </c>
      <c r="C617" s="25" t="n"/>
      <c r="D617" s="26" t="n"/>
    </row>
    <row r="618">
      <c r="A618" t="n">
        <v>617</v>
      </c>
      <c r="C618" s="25" t="n"/>
      <c r="D618" s="26" t="n"/>
    </row>
    <row r="619">
      <c r="A619" t="n">
        <v>618</v>
      </c>
      <c r="C619" s="25" t="n"/>
      <c r="D619" s="26" t="n"/>
    </row>
    <row r="620">
      <c r="A620" t="n">
        <v>619</v>
      </c>
      <c r="C620" s="25" t="n"/>
      <c r="D620" s="26" t="n"/>
    </row>
    <row r="621">
      <c r="A621" t="n">
        <v>620</v>
      </c>
      <c r="C621" s="25" t="n"/>
      <c r="D621" s="26" t="n"/>
    </row>
    <row r="622">
      <c r="A622" t="n">
        <v>621</v>
      </c>
      <c r="C622" s="25" t="n"/>
      <c r="D622" s="26" t="n"/>
    </row>
    <row r="623">
      <c r="A623" t="n">
        <v>622</v>
      </c>
      <c r="C623" s="25" t="n"/>
      <c r="D623" s="26" t="n"/>
    </row>
    <row r="624">
      <c r="A624" t="n">
        <v>623</v>
      </c>
      <c r="C624" s="25" t="n"/>
      <c r="D624" s="26" t="n"/>
    </row>
    <row r="625">
      <c r="A625" t="n">
        <v>624</v>
      </c>
      <c r="C625" s="25" t="n"/>
      <c r="D625" s="26" t="n"/>
    </row>
    <row r="626">
      <c r="A626" t="n">
        <v>625</v>
      </c>
      <c r="C626" s="25" t="n"/>
      <c r="D626" s="26" t="n"/>
    </row>
    <row r="627">
      <c r="A627" t="n">
        <v>626</v>
      </c>
      <c r="C627" s="25" t="n"/>
      <c r="D627" s="26" t="n"/>
    </row>
    <row r="628">
      <c r="A628" t="n">
        <v>627</v>
      </c>
      <c r="C628" s="25" t="n"/>
      <c r="D628" s="26" t="n"/>
    </row>
    <row r="629">
      <c r="A629" t="n">
        <v>628</v>
      </c>
      <c r="C629" s="25" t="n"/>
      <c r="D629" s="26" t="n"/>
    </row>
    <row r="630">
      <c r="A630" t="n">
        <v>629</v>
      </c>
      <c r="C630" s="25" t="n"/>
      <c r="D630" s="26" t="n"/>
    </row>
    <row r="631">
      <c r="A631" t="n">
        <v>630</v>
      </c>
      <c r="C631" s="25" t="n"/>
      <c r="D631" s="26" t="n"/>
    </row>
    <row r="632">
      <c r="A632" t="n">
        <v>631</v>
      </c>
      <c r="C632" s="25" t="n"/>
      <c r="D632" s="26" t="n"/>
    </row>
    <row r="633">
      <c r="A633" t="n">
        <v>632</v>
      </c>
      <c r="C633" s="25" t="n"/>
      <c r="D633" s="26" t="n"/>
    </row>
    <row r="634">
      <c r="A634" t="n">
        <v>633</v>
      </c>
      <c r="C634" s="25" t="n"/>
      <c r="D634" s="26" t="n"/>
    </row>
    <row r="635">
      <c r="A635" t="n">
        <v>634</v>
      </c>
      <c r="C635" s="25" t="n"/>
      <c r="D635" s="26" t="n"/>
    </row>
    <row r="636">
      <c r="A636" t="n">
        <v>635</v>
      </c>
      <c r="C636" s="25" t="n"/>
      <c r="D636" s="26" t="n"/>
    </row>
    <row r="637">
      <c r="A637" t="n">
        <v>636</v>
      </c>
      <c r="C637" s="25" t="n"/>
      <c r="D637" s="26" t="n"/>
    </row>
    <row r="638">
      <c r="A638" t="n">
        <v>637</v>
      </c>
      <c r="C638" s="25" t="n"/>
      <c r="D638" s="26" t="n"/>
    </row>
    <row r="639">
      <c r="A639" t="n">
        <v>638</v>
      </c>
      <c r="C639" s="25" t="n"/>
      <c r="D639" s="26" t="n"/>
    </row>
    <row r="640">
      <c r="A640" t="n">
        <v>639</v>
      </c>
      <c r="C640" s="25" t="n"/>
      <c r="D640" s="26" t="n"/>
    </row>
    <row r="641">
      <c r="A641" t="n">
        <v>640</v>
      </c>
      <c r="C641" s="25" t="n"/>
      <c r="D641" s="26" t="n"/>
    </row>
    <row r="642">
      <c r="A642" t="n">
        <v>641</v>
      </c>
      <c r="C642" s="25" t="n"/>
      <c r="D642" s="26" t="n"/>
    </row>
    <row r="643">
      <c r="A643" t="n">
        <v>642</v>
      </c>
      <c r="C643" s="25" t="n"/>
      <c r="D643" s="26" t="n"/>
    </row>
    <row r="644">
      <c r="A644" t="n">
        <v>643</v>
      </c>
      <c r="C644" s="25" t="n"/>
      <c r="D644" s="26" t="n"/>
    </row>
    <row r="645">
      <c r="A645" t="n">
        <v>644</v>
      </c>
      <c r="C645" s="25" t="n"/>
      <c r="D645" s="26" t="n"/>
    </row>
    <row r="646">
      <c r="A646" t="n">
        <v>645</v>
      </c>
      <c r="C646" s="25" t="n"/>
      <c r="D646" s="26" t="n"/>
    </row>
    <row r="647">
      <c r="A647" t="n">
        <v>646</v>
      </c>
      <c r="C647" s="25" t="n"/>
      <c r="D647" s="26" t="n"/>
    </row>
    <row r="648">
      <c r="A648" t="n">
        <v>647</v>
      </c>
      <c r="C648" s="25" t="n"/>
      <c r="D648" s="26" t="n"/>
    </row>
    <row r="649">
      <c r="A649" t="n">
        <v>648</v>
      </c>
      <c r="C649" s="25" t="n"/>
      <c r="D649" s="26" t="n"/>
    </row>
    <row r="650">
      <c r="A650" t="n">
        <v>649</v>
      </c>
      <c r="C650" s="25" t="n"/>
      <c r="D650" s="26" t="n"/>
    </row>
    <row r="651">
      <c r="A651" t="n">
        <v>650</v>
      </c>
      <c r="C651" s="25" t="n"/>
      <c r="D651" s="26" t="n"/>
    </row>
    <row r="652">
      <c r="A652" t="n">
        <v>651</v>
      </c>
      <c r="C652" s="25" t="n"/>
      <c r="D652" s="26" t="n"/>
    </row>
    <row r="653">
      <c r="A653" t="n">
        <v>652</v>
      </c>
      <c r="C653" s="25" t="n"/>
      <c r="D653" s="26" t="n"/>
    </row>
    <row r="654">
      <c r="A654" t="n">
        <v>653</v>
      </c>
      <c r="C654" s="25" t="n"/>
      <c r="D654" s="26" t="n"/>
    </row>
    <row r="655">
      <c r="A655" t="n">
        <v>654</v>
      </c>
      <c r="C655" s="25" t="n"/>
      <c r="D655" s="26" t="n"/>
    </row>
    <row r="656">
      <c r="A656" t="n">
        <v>655</v>
      </c>
      <c r="C656" s="25" t="n"/>
      <c r="D656" s="26" t="n"/>
    </row>
    <row r="657">
      <c r="A657" t="n">
        <v>656</v>
      </c>
      <c r="C657" s="25" t="n"/>
      <c r="D657" s="26" t="n"/>
    </row>
    <row r="658">
      <c r="A658" t="n">
        <v>657</v>
      </c>
      <c r="C658" s="25" t="n"/>
      <c r="D658" s="26" t="n"/>
    </row>
    <row r="659">
      <c r="A659" t="n">
        <v>658</v>
      </c>
      <c r="C659" s="25" t="n"/>
      <c r="D659" s="26" t="n"/>
    </row>
    <row r="660">
      <c r="A660" t="n">
        <v>659</v>
      </c>
      <c r="C660" s="25" t="n"/>
      <c r="D660" s="26" t="n"/>
    </row>
    <row r="661">
      <c r="A661" t="n">
        <v>660</v>
      </c>
      <c r="C661" s="25" t="n"/>
      <c r="D661" s="26" t="n"/>
    </row>
    <row r="662">
      <c r="A662" t="n">
        <v>661</v>
      </c>
      <c r="C662" s="25" t="n"/>
      <c r="D662" s="26" t="n"/>
    </row>
    <row r="663">
      <c r="A663" t="n">
        <v>662</v>
      </c>
      <c r="C663" s="25" t="n"/>
      <c r="D663" s="26" t="n"/>
    </row>
    <row r="664">
      <c r="A664" t="n">
        <v>663</v>
      </c>
      <c r="C664" s="25" t="n"/>
      <c r="D664" s="26" t="n"/>
    </row>
    <row r="665">
      <c r="A665" t="n">
        <v>664</v>
      </c>
      <c r="C665" s="25" t="n"/>
      <c r="D665" s="26" t="n"/>
    </row>
    <row r="666">
      <c r="A666" t="n">
        <v>665</v>
      </c>
      <c r="C666" s="25" t="n"/>
      <c r="D666" s="26" t="n"/>
    </row>
    <row r="667">
      <c r="A667" t="n">
        <v>666</v>
      </c>
      <c r="C667" s="25" t="n"/>
      <c r="D667" s="26" t="n"/>
    </row>
    <row r="668">
      <c r="A668" t="n">
        <v>667</v>
      </c>
      <c r="C668" s="25" t="n"/>
      <c r="D668" s="26" t="n"/>
    </row>
    <row r="669">
      <c r="A669" t="n">
        <v>668</v>
      </c>
      <c r="C669" s="25" t="n"/>
      <c r="D669" s="26" t="n"/>
    </row>
    <row r="670">
      <c r="A670" t="n">
        <v>669</v>
      </c>
      <c r="C670" s="25" t="n"/>
      <c r="D670" s="26" t="n"/>
    </row>
    <row r="671">
      <c r="A671" t="n">
        <v>670</v>
      </c>
      <c r="C671" s="25" t="n"/>
      <c r="D671" s="26" t="n"/>
    </row>
    <row r="672">
      <c r="A672" t="n">
        <v>671</v>
      </c>
      <c r="C672" s="25" t="n"/>
      <c r="D672" s="26" t="n"/>
    </row>
    <row r="673">
      <c r="A673" t="n">
        <v>672</v>
      </c>
      <c r="C673" s="25" t="n"/>
      <c r="D673" s="26" t="n"/>
    </row>
    <row r="674">
      <c r="A674" t="n">
        <v>673</v>
      </c>
      <c r="C674" s="25" t="n"/>
      <c r="D674" s="26" t="n"/>
    </row>
    <row r="675">
      <c r="A675" t="n">
        <v>674</v>
      </c>
      <c r="C675" s="25" t="n"/>
      <c r="D675" s="26" t="n"/>
    </row>
    <row r="676">
      <c r="A676" t="n">
        <v>675</v>
      </c>
      <c r="C676" s="25" t="n"/>
      <c r="D676" s="26" t="n"/>
    </row>
    <row r="677">
      <c r="A677" t="n">
        <v>676</v>
      </c>
      <c r="C677" s="25" t="n"/>
      <c r="D677" s="26" t="n"/>
    </row>
    <row r="678">
      <c r="A678" t="n">
        <v>677</v>
      </c>
      <c r="C678" s="25" t="n"/>
      <c r="D678" s="26" t="n"/>
    </row>
    <row r="679">
      <c r="A679" t="n">
        <v>678</v>
      </c>
      <c r="C679" s="25" t="n"/>
      <c r="D679" s="26" t="n"/>
    </row>
    <row r="680">
      <c r="A680" t="n">
        <v>679</v>
      </c>
      <c r="C680" s="25" t="n"/>
      <c r="D680" s="26" t="n"/>
    </row>
    <row r="681">
      <c r="A681" t="n">
        <v>680</v>
      </c>
      <c r="C681" s="25" t="n"/>
      <c r="D681" s="26" t="n"/>
    </row>
    <row r="682">
      <c r="A682" t="n">
        <v>681</v>
      </c>
      <c r="C682" s="25" t="n"/>
      <c r="D682" s="26" t="n"/>
    </row>
    <row r="683">
      <c r="A683" t="n">
        <v>682</v>
      </c>
      <c r="C683" s="25" t="n"/>
      <c r="D683" s="26" t="n"/>
    </row>
    <row r="684">
      <c r="A684" t="n">
        <v>683</v>
      </c>
      <c r="C684" s="25" t="n"/>
      <c r="D684" s="26" t="n"/>
    </row>
    <row r="685">
      <c r="A685" t="n">
        <v>684</v>
      </c>
      <c r="C685" s="25" t="n"/>
      <c r="D685" s="26" t="n"/>
    </row>
    <row r="686">
      <c r="A686" t="n">
        <v>685</v>
      </c>
      <c r="C686" s="25" t="n"/>
      <c r="D686" s="26" t="n"/>
    </row>
    <row r="687">
      <c r="A687" t="n">
        <v>686</v>
      </c>
      <c r="C687" s="25" t="n"/>
      <c r="D687" s="26" t="n"/>
    </row>
    <row r="688">
      <c r="A688" t="n">
        <v>687</v>
      </c>
      <c r="C688" s="25" t="n"/>
      <c r="D688" s="26" t="n"/>
    </row>
    <row r="689">
      <c r="A689" t="n">
        <v>688</v>
      </c>
      <c r="C689" s="25" t="n"/>
      <c r="D689" s="26" t="n"/>
    </row>
    <row r="690">
      <c r="A690" t="n">
        <v>689</v>
      </c>
      <c r="C690" s="25" t="n"/>
      <c r="D690" s="26" t="n"/>
    </row>
    <row r="691">
      <c r="A691" t="n">
        <v>690</v>
      </c>
      <c r="C691" s="25" t="n"/>
      <c r="D691" s="26" t="n"/>
    </row>
    <row r="692">
      <c r="A692" t="n">
        <v>691</v>
      </c>
      <c r="C692" s="25" t="n"/>
      <c r="D692" s="26" t="n"/>
    </row>
    <row r="693">
      <c r="A693" t="n">
        <v>692</v>
      </c>
      <c r="C693" s="25" t="n"/>
      <c r="D693" s="26" t="n"/>
    </row>
    <row r="694">
      <c r="A694" t="n">
        <v>693</v>
      </c>
      <c r="C694" s="25" t="n"/>
      <c r="D694" s="26" t="n"/>
    </row>
    <row r="695">
      <c r="A695" t="n">
        <v>694</v>
      </c>
      <c r="C695" s="25" t="n"/>
      <c r="D695" s="26" t="n"/>
    </row>
    <row r="696">
      <c r="A696" t="n">
        <v>695</v>
      </c>
      <c r="C696" s="25" t="n"/>
      <c r="D696" s="26" t="n"/>
    </row>
    <row r="697">
      <c r="A697" t="n">
        <v>696</v>
      </c>
      <c r="C697" s="25" t="n"/>
      <c r="D697" s="26" t="n"/>
    </row>
    <row r="698">
      <c r="A698" t="n">
        <v>697</v>
      </c>
      <c r="C698" s="25" t="n"/>
      <c r="D698" s="26" t="n"/>
    </row>
    <row r="699">
      <c r="A699" t="n">
        <v>698</v>
      </c>
      <c r="C699" s="25" t="n"/>
      <c r="D699" s="26" t="n"/>
    </row>
    <row r="700">
      <c r="A700" t="n">
        <v>699</v>
      </c>
      <c r="C700" s="25" t="n"/>
      <c r="D700" s="26" t="n"/>
    </row>
    <row r="701">
      <c r="A701" t="n">
        <v>700</v>
      </c>
      <c r="C701" s="25" t="n"/>
      <c r="D701" s="26" t="n"/>
    </row>
    <row r="702">
      <c r="A702" t="n">
        <v>701</v>
      </c>
      <c r="C702" s="25" t="n"/>
      <c r="D702" s="26" t="n"/>
    </row>
    <row r="703">
      <c r="A703" t="n">
        <v>702</v>
      </c>
      <c r="C703" s="25" t="n"/>
      <c r="D703" s="26" t="n"/>
    </row>
    <row r="704">
      <c r="A704" t="n">
        <v>703</v>
      </c>
      <c r="C704" s="25" t="n"/>
      <c r="D704" s="26" t="n"/>
    </row>
    <row r="705">
      <c r="A705" t="n">
        <v>704</v>
      </c>
      <c r="C705" s="25" t="n"/>
      <c r="D705" s="26" t="n"/>
    </row>
    <row r="706">
      <c r="A706" t="n">
        <v>705</v>
      </c>
      <c r="C706" s="25" t="n"/>
      <c r="D706" s="26" t="n"/>
    </row>
    <row r="707">
      <c r="A707" t="n">
        <v>706</v>
      </c>
      <c r="C707" s="25" t="n"/>
      <c r="D707" s="26" t="n"/>
    </row>
    <row r="708">
      <c r="A708" t="n">
        <v>707</v>
      </c>
      <c r="C708" s="25" t="n"/>
      <c r="D708" s="26" t="n"/>
    </row>
    <row r="709">
      <c r="A709" t="n">
        <v>708</v>
      </c>
      <c r="C709" s="25" t="n"/>
      <c r="D709" s="26" t="n"/>
    </row>
    <row r="710">
      <c r="A710" t="n">
        <v>709</v>
      </c>
      <c r="C710" s="25" t="n"/>
      <c r="D710" s="26" t="n"/>
    </row>
    <row r="711">
      <c r="A711" t="n">
        <v>710</v>
      </c>
      <c r="C711" s="25" t="n"/>
      <c r="D711" s="26" t="n"/>
    </row>
    <row r="712">
      <c r="A712" t="n">
        <v>711</v>
      </c>
      <c r="C712" s="25" t="n"/>
      <c r="D712" s="26" t="n"/>
    </row>
    <row r="713">
      <c r="A713" t="n">
        <v>712</v>
      </c>
      <c r="C713" s="25" t="n"/>
      <c r="D713" s="26" t="n"/>
    </row>
    <row r="714">
      <c r="A714" t="n">
        <v>713</v>
      </c>
      <c r="C714" s="25" t="n"/>
      <c r="D714" s="26" t="n"/>
    </row>
    <row r="715">
      <c r="A715" t="n">
        <v>714</v>
      </c>
      <c r="C715" s="25" t="n"/>
      <c r="D715" s="26" t="n"/>
    </row>
    <row r="716">
      <c r="A716" t="n">
        <v>715</v>
      </c>
      <c r="C716" s="25" t="n"/>
      <c r="D716" s="26" t="n"/>
    </row>
    <row r="717">
      <c r="A717" t="n">
        <v>716</v>
      </c>
      <c r="C717" s="25" t="n"/>
      <c r="D717" s="26" t="n"/>
    </row>
    <row r="718">
      <c r="A718" t="n">
        <v>717</v>
      </c>
      <c r="C718" s="25" t="n"/>
      <c r="D718" s="26" t="n"/>
    </row>
    <row r="719">
      <c r="A719" t="n">
        <v>718</v>
      </c>
      <c r="C719" s="25" t="n"/>
      <c r="D719" s="26" t="n"/>
    </row>
    <row r="720">
      <c r="A720" t="n">
        <v>719</v>
      </c>
      <c r="C720" s="25" t="n"/>
      <c r="D720" s="26" t="n"/>
    </row>
    <row r="721">
      <c r="A721" t="n">
        <v>720</v>
      </c>
      <c r="C721" s="25" t="n"/>
      <c r="D721" s="26" t="n"/>
    </row>
    <row r="722">
      <c r="A722" t="n">
        <v>721</v>
      </c>
      <c r="C722" s="25" t="n"/>
      <c r="D722" s="26" t="n"/>
    </row>
    <row r="723">
      <c r="A723" t="n">
        <v>722</v>
      </c>
      <c r="C723" s="25" t="n"/>
      <c r="D723" s="26" t="n"/>
    </row>
    <row r="724">
      <c r="A724" t="n">
        <v>723</v>
      </c>
      <c r="C724" s="25" t="n"/>
      <c r="D724" s="26" t="n"/>
    </row>
    <row r="725">
      <c r="A725" t="n">
        <v>724</v>
      </c>
      <c r="C725" s="25" t="n"/>
      <c r="D725" s="26" t="n"/>
    </row>
    <row r="726">
      <c r="A726" t="n">
        <v>725</v>
      </c>
      <c r="C726" s="25" t="n"/>
      <c r="D726" s="26" t="n"/>
    </row>
    <row r="727">
      <c r="A727" t="n">
        <v>726</v>
      </c>
      <c r="C727" s="25" t="n"/>
      <c r="D727" s="26" t="n"/>
    </row>
    <row r="728">
      <c r="A728" t="n">
        <v>727</v>
      </c>
      <c r="C728" s="25" t="n"/>
      <c r="D728" s="26" t="n"/>
    </row>
    <row r="729">
      <c r="A729" t="n">
        <v>728</v>
      </c>
      <c r="C729" s="25" t="n"/>
      <c r="D729" s="26" t="n"/>
    </row>
    <row r="730">
      <c r="A730" t="n">
        <v>729</v>
      </c>
      <c r="C730" s="25" t="n"/>
      <c r="D730" s="26" t="n"/>
    </row>
    <row r="731">
      <c r="A731" t="n">
        <v>730</v>
      </c>
      <c r="C731" s="25" t="n"/>
      <c r="D731" s="26" t="n"/>
    </row>
    <row r="732">
      <c r="A732" t="n">
        <v>731</v>
      </c>
      <c r="C732" s="25" t="n"/>
      <c r="D732" s="26" t="n"/>
    </row>
    <row r="733">
      <c r="A733" t="n">
        <v>732</v>
      </c>
      <c r="C733" s="25" t="n"/>
      <c r="D733" s="26" t="n"/>
    </row>
    <row r="734">
      <c r="A734" t="n">
        <v>733</v>
      </c>
      <c r="C734" s="25" t="n"/>
      <c r="D734" s="26" t="n"/>
    </row>
    <row r="735">
      <c r="A735" t="n">
        <v>734</v>
      </c>
      <c r="C735" s="25" t="n"/>
      <c r="D735" s="26" t="n"/>
    </row>
    <row r="736">
      <c r="A736" t="n">
        <v>735</v>
      </c>
      <c r="C736" s="25" t="n"/>
      <c r="D736" s="26" t="n"/>
    </row>
    <row r="737">
      <c r="A737" t="n">
        <v>736</v>
      </c>
      <c r="C737" s="25" t="n"/>
      <c r="D737" s="26" t="n"/>
    </row>
    <row r="738">
      <c r="A738" t="n">
        <v>737</v>
      </c>
      <c r="C738" s="25" t="n"/>
      <c r="D738" s="26" t="n"/>
    </row>
    <row r="739">
      <c r="A739" t="n">
        <v>738</v>
      </c>
      <c r="C739" s="25" t="n"/>
      <c r="D739" s="26" t="n"/>
    </row>
    <row r="740">
      <c r="A740" t="n">
        <v>739</v>
      </c>
      <c r="C740" s="25" t="n"/>
      <c r="D740" s="26" t="n"/>
    </row>
    <row r="741">
      <c r="A741" t="n">
        <v>740</v>
      </c>
      <c r="C741" s="25" t="n"/>
      <c r="D741" s="26" t="n"/>
    </row>
    <row r="742">
      <c r="A742" t="n">
        <v>741</v>
      </c>
      <c r="C742" s="25" t="n"/>
      <c r="D742" s="26" t="n"/>
    </row>
    <row r="743">
      <c r="A743" t="n">
        <v>742</v>
      </c>
      <c r="C743" s="25" t="n"/>
      <c r="D743" s="26" t="n"/>
    </row>
    <row r="744">
      <c r="A744" t="n">
        <v>743</v>
      </c>
      <c r="C744" s="25" t="n"/>
      <c r="D744" s="26" t="n"/>
    </row>
    <row r="745">
      <c r="A745" t="n">
        <v>744</v>
      </c>
      <c r="C745" s="25" t="n"/>
      <c r="D745" s="26" t="n"/>
    </row>
    <row r="746">
      <c r="A746" t="n">
        <v>745</v>
      </c>
      <c r="C746" s="25" t="n"/>
      <c r="D746" s="26" t="n"/>
    </row>
    <row r="747">
      <c r="A747" t="n">
        <v>746</v>
      </c>
      <c r="C747" s="25" t="n"/>
      <c r="D747" s="26" t="n"/>
    </row>
    <row r="748">
      <c r="A748" t="n">
        <v>747</v>
      </c>
      <c r="C748" s="25" t="n"/>
      <c r="D748" s="26" t="n"/>
    </row>
    <row r="749">
      <c r="A749" t="n">
        <v>748</v>
      </c>
      <c r="C749" s="25" t="n"/>
      <c r="D749" s="26" t="n"/>
    </row>
    <row r="750">
      <c r="A750" t="n">
        <v>749</v>
      </c>
      <c r="C750" s="25" t="n"/>
      <c r="D750" s="26" t="n"/>
    </row>
    <row r="751">
      <c r="A751" t="n">
        <v>750</v>
      </c>
      <c r="C751" s="25" t="n"/>
      <c r="D751" s="26" t="n"/>
    </row>
    <row r="752">
      <c r="A752" t="n">
        <v>751</v>
      </c>
      <c r="C752" s="25" t="n"/>
      <c r="D752" s="26" t="n"/>
    </row>
    <row r="753">
      <c r="A753" t="n">
        <v>752</v>
      </c>
      <c r="C753" s="25" t="n"/>
      <c r="D753" s="26" t="n"/>
    </row>
    <row r="754">
      <c r="A754" t="n">
        <v>753</v>
      </c>
      <c r="C754" s="25" t="n"/>
      <c r="D754" s="26" t="n"/>
    </row>
    <row r="755">
      <c r="A755" t="n">
        <v>754</v>
      </c>
      <c r="C755" s="25" t="n"/>
      <c r="D755" s="26" t="n"/>
    </row>
    <row r="756">
      <c r="A756" t="n">
        <v>755</v>
      </c>
      <c r="C756" s="25" t="n"/>
      <c r="D756" s="26" t="n"/>
    </row>
    <row r="757">
      <c r="A757" t="n">
        <v>756</v>
      </c>
      <c r="C757" s="25" t="n"/>
      <c r="D757" s="26" t="n"/>
    </row>
    <row r="758">
      <c r="A758" t="n">
        <v>757</v>
      </c>
      <c r="C758" s="25" t="n"/>
      <c r="D758" s="26" t="n"/>
    </row>
    <row r="759">
      <c r="A759" t="n">
        <v>758</v>
      </c>
      <c r="C759" s="25" t="n"/>
      <c r="D759" s="26" t="n"/>
    </row>
    <row r="760">
      <c r="A760" t="n">
        <v>759</v>
      </c>
      <c r="C760" s="25" t="n"/>
      <c r="D760" s="26" t="n"/>
    </row>
    <row r="761">
      <c r="A761" t="n">
        <v>760</v>
      </c>
      <c r="C761" s="25" t="n"/>
      <c r="D761" s="26" t="n"/>
    </row>
    <row r="762">
      <c r="A762" t="n">
        <v>761</v>
      </c>
      <c r="C762" s="25" t="n"/>
      <c r="D762" s="26" t="n"/>
    </row>
    <row r="763">
      <c r="A763" t="n">
        <v>762</v>
      </c>
      <c r="C763" s="25" t="n"/>
      <c r="D763" s="26" t="n"/>
    </row>
    <row r="764">
      <c r="A764" t="n">
        <v>763</v>
      </c>
      <c r="C764" s="25" t="n"/>
      <c r="D764" s="26" t="n"/>
    </row>
    <row r="765">
      <c r="A765" t="n">
        <v>764</v>
      </c>
      <c r="C765" s="25" t="n"/>
      <c r="D765" s="26" t="n"/>
    </row>
    <row r="766">
      <c r="A766" t="n">
        <v>765</v>
      </c>
      <c r="C766" s="25" t="n"/>
      <c r="D766" s="26" t="n"/>
    </row>
    <row r="767">
      <c r="A767" t="n">
        <v>766</v>
      </c>
      <c r="C767" s="25" t="n"/>
      <c r="D767" s="26" t="n"/>
    </row>
    <row r="768">
      <c r="A768" t="n">
        <v>767</v>
      </c>
      <c r="C768" s="25" t="n"/>
      <c r="D768" s="26" t="n"/>
    </row>
    <row r="769">
      <c r="A769" t="n">
        <v>768</v>
      </c>
      <c r="C769" s="25" t="n"/>
      <c r="D769" s="26" t="n"/>
    </row>
    <row r="770">
      <c r="A770" t="n">
        <v>769</v>
      </c>
      <c r="C770" s="25" t="n"/>
      <c r="D770" s="26" t="n"/>
    </row>
    <row r="771">
      <c r="A771" t="n">
        <v>770</v>
      </c>
      <c r="C771" s="25" t="n"/>
      <c r="D771" s="26" t="n"/>
    </row>
    <row r="772">
      <c r="A772" t="n">
        <v>771</v>
      </c>
      <c r="C772" s="25" t="n"/>
      <c r="D772" s="26" t="n"/>
    </row>
    <row r="773">
      <c r="A773" t="n">
        <v>772</v>
      </c>
      <c r="C773" s="25" t="n"/>
      <c r="D773" s="26" t="n"/>
    </row>
    <row r="774">
      <c r="A774" t="n">
        <v>773</v>
      </c>
      <c r="C774" s="25" t="n"/>
      <c r="D774" s="26" t="n"/>
    </row>
    <row r="775">
      <c r="A775" t="n">
        <v>774</v>
      </c>
      <c r="C775" s="25" t="n"/>
      <c r="D775" s="26" t="n"/>
    </row>
    <row r="776">
      <c r="A776" t="n">
        <v>775</v>
      </c>
      <c r="C776" s="25" t="n"/>
      <c r="D776" s="26" t="n"/>
    </row>
    <row r="777">
      <c r="A777" t="n">
        <v>776</v>
      </c>
      <c r="C777" s="25" t="n"/>
      <c r="D777" s="26" t="n"/>
    </row>
    <row r="778">
      <c r="A778" t="n">
        <v>777</v>
      </c>
      <c r="C778" s="25" t="n"/>
      <c r="D778" s="26" t="n"/>
    </row>
    <row r="779">
      <c r="A779" t="n">
        <v>778</v>
      </c>
      <c r="C779" s="25" t="n"/>
      <c r="D779" s="26" t="n"/>
    </row>
    <row r="780">
      <c r="A780" t="n">
        <v>779</v>
      </c>
      <c r="C780" s="25" t="n"/>
      <c r="D780" s="26" t="n"/>
    </row>
    <row r="781">
      <c r="A781" t="n">
        <v>780</v>
      </c>
      <c r="C781" s="25" t="n"/>
      <c r="D781" s="26" t="n"/>
    </row>
    <row r="782">
      <c r="A782" t="n">
        <v>781</v>
      </c>
      <c r="C782" s="25" t="n"/>
      <c r="D782" s="26" t="n"/>
    </row>
    <row r="783">
      <c r="A783" t="n">
        <v>782</v>
      </c>
      <c r="C783" s="25" t="n"/>
      <c r="D783" s="26" t="n"/>
    </row>
    <row r="784">
      <c r="A784" t="n">
        <v>783</v>
      </c>
      <c r="C784" s="25" t="n"/>
      <c r="D784" s="26" t="n"/>
    </row>
    <row r="785">
      <c r="A785" t="n">
        <v>784</v>
      </c>
      <c r="C785" s="25" t="n"/>
      <c r="D785" s="26" t="n"/>
    </row>
    <row r="786">
      <c r="A786" t="n">
        <v>785</v>
      </c>
      <c r="C786" s="25" t="n"/>
      <c r="D786" s="26" t="n"/>
    </row>
    <row r="787">
      <c r="A787" t="n">
        <v>786</v>
      </c>
      <c r="C787" s="25" t="n"/>
      <c r="D787" s="26" t="n"/>
    </row>
    <row r="788">
      <c r="A788" t="n">
        <v>787</v>
      </c>
      <c r="C788" s="25" t="n"/>
      <c r="D788" s="26" t="n"/>
    </row>
    <row r="789">
      <c r="A789" t="n">
        <v>788</v>
      </c>
      <c r="C789" s="25" t="n"/>
      <c r="D789" s="26" t="n"/>
    </row>
    <row r="790">
      <c r="A790" t="n">
        <v>789</v>
      </c>
      <c r="C790" s="25" t="n"/>
      <c r="D790" s="26" t="n"/>
    </row>
    <row r="791">
      <c r="A791" t="n">
        <v>790</v>
      </c>
      <c r="C791" s="25" t="n"/>
      <c r="D791" s="26" t="n"/>
    </row>
    <row r="792">
      <c r="A792" t="n">
        <v>791</v>
      </c>
      <c r="C792" s="25" t="n"/>
      <c r="D792" s="26" t="n"/>
    </row>
    <row r="793">
      <c r="A793" t="n">
        <v>792</v>
      </c>
      <c r="C793" s="25" t="n"/>
      <c r="D793" s="26" t="n"/>
    </row>
    <row r="794">
      <c r="A794" t="n">
        <v>793</v>
      </c>
      <c r="C794" s="25" t="n"/>
      <c r="D794" s="26" t="n"/>
    </row>
    <row r="795">
      <c r="A795" t="n">
        <v>794</v>
      </c>
      <c r="C795" s="25" t="n"/>
      <c r="D795" s="26" t="n"/>
    </row>
    <row r="796">
      <c r="A796" t="n">
        <v>795</v>
      </c>
      <c r="C796" s="25" t="n"/>
      <c r="D796" s="26" t="n"/>
    </row>
    <row r="797">
      <c r="A797" t="n">
        <v>796</v>
      </c>
      <c r="C797" s="25" t="n"/>
      <c r="D797" s="26" t="n"/>
    </row>
    <row r="798">
      <c r="A798" t="n">
        <v>797</v>
      </c>
      <c r="C798" s="25" t="n"/>
      <c r="D798" s="26" t="n"/>
    </row>
    <row r="799">
      <c r="A799" t="n">
        <v>798</v>
      </c>
      <c r="C799" s="25" t="n"/>
      <c r="D799" s="26" t="n"/>
    </row>
    <row r="800">
      <c r="A800" t="n">
        <v>799</v>
      </c>
      <c r="C800" s="25" t="n"/>
      <c r="D800" s="26" t="n"/>
    </row>
    <row r="801">
      <c r="A801" t="n">
        <v>800</v>
      </c>
      <c r="C801" s="25" t="n"/>
      <c r="D801" s="26" t="n"/>
    </row>
    <row r="802">
      <c r="A802" t="n">
        <v>801</v>
      </c>
      <c r="C802" s="25" t="n"/>
      <c r="D802" s="26" t="n"/>
    </row>
    <row r="803">
      <c r="A803" t="n">
        <v>802</v>
      </c>
      <c r="C803" s="25" t="n"/>
      <c r="D803" s="26" t="n"/>
    </row>
    <row r="804">
      <c r="A804" t="n">
        <v>803</v>
      </c>
      <c r="C804" s="25" t="n"/>
      <c r="D804" s="26" t="n"/>
    </row>
    <row r="805">
      <c r="A805" t="n">
        <v>804</v>
      </c>
      <c r="C805" s="25" t="n"/>
      <c r="D805" s="26" t="n"/>
    </row>
    <row r="806">
      <c r="A806" t="n">
        <v>805</v>
      </c>
      <c r="C806" s="25" t="n"/>
      <c r="D806" s="26" t="n"/>
    </row>
    <row r="807">
      <c r="A807" t="n">
        <v>806</v>
      </c>
      <c r="C807" s="25" t="n"/>
      <c r="D807" s="26" t="n"/>
    </row>
    <row r="808">
      <c r="A808" t="n">
        <v>807</v>
      </c>
      <c r="C808" s="25" t="n"/>
      <c r="D808" s="26" t="n"/>
    </row>
    <row r="809">
      <c r="A809" t="n">
        <v>808</v>
      </c>
      <c r="C809" s="25" t="n"/>
      <c r="D809" s="26" t="n"/>
    </row>
    <row r="810">
      <c r="A810" t="n">
        <v>809</v>
      </c>
      <c r="C810" s="25" t="n"/>
      <c r="D810" s="26" t="n"/>
    </row>
    <row r="811">
      <c r="A811" t="n">
        <v>810</v>
      </c>
      <c r="C811" s="25" t="n"/>
      <c r="D811" s="26" t="n"/>
    </row>
    <row r="812">
      <c r="A812" t="n">
        <v>811</v>
      </c>
      <c r="C812" s="25" t="n"/>
      <c r="D812" s="26" t="n"/>
    </row>
    <row r="813">
      <c r="A813" t="n">
        <v>812</v>
      </c>
      <c r="C813" s="25" t="n"/>
      <c r="D813" s="26" t="n"/>
    </row>
    <row r="814">
      <c r="A814" t="n">
        <v>813</v>
      </c>
      <c r="C814" s="25" t="n"/>
      <c r="D814" s="26" t="n"/>
    </row>
    <row r="815">
      <c r="A815" t="n">
        <v>814</v>
      </c>
      <c r="C815" s="25" t="n"/>
      <c r="D815" s="26" t="n"/>
    </row>
    <row r="816">
      <c r="A816" t="n">
        <v>815</v>
      </c>
      <c r="C816" s="25" t="n"/>
      <c r="D816" s="26" t="n"/>
    </row>
    <row r="817">
      <c r="A817" t="n">
        <v>816</v>
      </c>
      <c r="C817" s="25" t="n"/>
      <c r="D817" s="26" t="n"/>
    </row>
    <row r="818">
      <c r="A818" t="n">
        <v>817</v>
      </c>
      <c r="C818" s="25" t="n"/>
      <c r="D818" s="26" t="n"/>
    </row>
    <row r="819">
      <c r="A819" t="n">
        <v>818</v>
      </c>
      <c r="C819" s="25" t="n"/>
      <c r="D819" s="26" t="n"/>
    </row>
    <row r="820">
      <c r="A820" t="n">
        <v>819</v>
      </c>
      <c r="C820" s="25" t="n"/>
      <c r="D820" s="26" t="n"/>
    </row>
    <row r="821">
      <c r="A821" t="n">
        <v>820</v>
      </c>
      <c r="C821" s="25" t="n"/>
      <c r="D821" s="26" t="n"/>
    </row>
    <row r="822">
      <c r="A822" t="n">
        <v>821</v>
      </c>
      <c r="C822" s="25" t="n"/>
      <c r="D822" s="26" t="n"/>
    </row>
    <row r="823">
      <c r="A823" t="n">
        <v>822</v>
      </c>
      <c r="C823" s="25" t="n"/>
      <c r="D823" s="26" t="n"/>
    </row>
    <row r="824">
      <c r="A824" t="n">
        <v>823</v>
      </c>
      <c r="C824" s="25" t="n"/>
      <c r="D824" s="26" t="n"/>
    </row>
    <row r="825">
      <c r="A825" t="n">
        <v>824</v>
      </c>
      <c r="C825" s="25" t="n"/>
      <c r="D825" s="26" t="n"/>
    </row>
    <row r="826">
      <c r="A826" t="n">
        <v>825</v>
      </c>
      <c r="C826" s="25" t="n"/>
      <c r="D826" s="26" t="n"/>
    </row>
    <row r="827">
      <c r="A827" t="n">
        <v>826</v>
      </c>
      <c r="C827" s="25" t="n"/>
      <c r="D827" s="26" t="n"/>
    </row>
    <row r="828">
      <c r="A828" t="n">
        <v>827</v>
      </c>
      <c r="C828" s="25" t="n"/>
      <c r="D828" s="26" t="n"/>
    </row>
    <row r="829">
      <c r="A829" t="n">
        <v>828</v>
      </c>
      <c r="C829" s="25" t="n"/>
      <c r="D829" s="26" t="n"/>
    </row>
    <row r="830">
      <c r="A830" t="n">
        <v>829</v>
      </c>
      <c r="C830" s="25" t="n"/>
      <c r="D830" s="26" t="n"/>
    </row>
    <row r="831">
      <c r="A831" t="n">
        <v>830</v>
      </c>
      <c r="C831" s="25" t="n"/>
      <c r="D831" s="26" t="n"/>
    </row>
    <row r="832">
      <c r="A832" t="n">
        <v>831</v>
      </c>
      <c r="C832" s="25" t="n"/>
      <c r="D832" s="26" t="n"/>
    </row>
    <row r="833">
      <c r="A833" t="n">
        <v>832</v>
      </c>
      <c r="C833" s="25" t="n"/>
      <c r="D833" s="26" t="n"/>
    </row>
    <row r="834">
      <c r="A834" t="n">
        <v>833</v>
      </c>
      <c r="C834" s="25" t="n"/>
      <c r="D834" s="26" t="n"/>
    </row>
    <row r="835">
      <c r="A835" t="n">
        <v>834</v>
      </c>
      <c r="C835" s="25" t="n"/>
      <c r="D835" s="26" t="n"/>
    </row>
    <row r="836">
      <c r="A836" t="n">
        <v>835</v>
      </c>
      <c r="C836" s="25" t="n"/>
      <c r="D836" s="26" t="n"/>
    </row>
    <row r="837">
      <c r="A837" t="n">
        <v>836</v>
      </c>
      <c r="C837" s="25" t="n"/>
      <c r="D837" s="26" t="n"/>
    </row>
    <row r="838">
      <c r="A838" t="n">
        <v>837</v>
      </c>
      <c r="C838" s="25" t="n"/>
      <c r="D838" s="26" t="n"/>
    </row>
    <row r="839">
      <c r="A839" t="n">
        <v>838</v>
      </c>
      <c r="C839" s="25" t="n"/>
      <c r="D839" s="26" t="n"/>
    </row>
    <row r="840">
      <c r="A840" t="n">
        <v>839</v>
      </c>
      <c r="C840" s="25" t="n"/>
      <c r="D840" s="26" t="n"/>
    </row>
    <row r="841">
      <c r="A841" t="n">
        <v>840</v>
      </c>
      <c r="C841" s="25" t="n"/>
      <c r="D841" s="26" t="n"/>
    </row>
    <row r="842">
      <c r="A842" t="n">
        <v>841</v>
      </c>
      <c r="C842" s="25" t="n"/>
      <c r="D842" s="26" t="n"/>
    </row>
    <row r="843">
      <c r="A843" t="n">
        <v>842</v>
      </c>
      <c r="C843" s="25" t="n"/>
      <c r="D843" s="26" t="n"/>
    </row>
    <row r="844">
      <c r="A844" t="n">
        <v>843</v>
      </c>
      <c r="C844" s="25" t="n"/>
      <c r="D844" s="26" t="n"/>
    </row>
    <row r="845">
      <c r="A845" t="n">
        <v>844</v>
      </c>
      <c r="C845" s="25" t="n"/>
      <c r="D845" s="26" t="n"/>
    </row>
    <row r="846">
      <c r="A846" t="n">
        <v>845</v>
      </c>
      <c r="C846" s="25" t="n"/>
      <c r="D846" s="26" t="n"/>
    </row>
    <row r="847">
      <c r="A847" t="n">
        <v>846</v>
      </c>
      <c r="C847" s="25" t="n"/>
      <c r="D847" s="26" t="n"/>
    </row>
    <row r="848">
      <c r="A848" t="n">
        <v>847</v>
      </c>
      <c r="C848" s="25" t="n"/>
      <c r="D848" s="26" t="n"/>
    </row>
    <row r="849">
      <c r="A849" t="n">
        <v>848</v>
      </c>
      <c r="C849" s="25" t="n"/>
      <c r="D849" s="26" t="n"/>
    </row>
    <row r="850">
      <c r="A850" t="n">
        <v>849</v>
      </c>
      <c r="C850" s="25" t="n"/>
      <c r="D850" s="26" t="n"/>
    </row>
    <row r="851">
      <c r="A851" t="n">
        <v>850</v>
      </c>
      <c r="C851" s="25" t="n"/>
      <c r="D851" s="26" t="n"/>
    </row>
    <row r="852">
      <c r="A852" t="n">
        <v>851</v>
      </c>
      <c r="C852" s="25" t="n"/>
      <c r="D852" s="26" t="n"/>
    </row>
    <row r="853">
      <c r="A853" t="n">
        <v>852</v>
      </c>
      <c r="C853" s="25" t="n"/>
      <c r="D853" s="26" t="n"/>
    </row>
    <row r="854">
      <c r="A854" t="n">
        <v>853</v>
      </c>
      <c r="C854" s="25" t="n"/>
      <c r="D854" s="26" t="n"/>
    </row>
    <row r="855">
      <c r="A855" t="n">
        <v>854</v>
      </c>
      <c r="C855" s="25" t="n"/>
      <c r="D855" s="26" t="n"/>
    </row>
    <row r="856">
      <c r="A856" t="n">
        <v>855</v>
      </c>
      <c r="C856" s="25" t="n"/>
      <c r="D856" s="26" t="n"/>
    </row>
    <row r="857">
      <c r="A857" t="n">
        <v>856</v>
      </c>
      <c r="C857" s="25" t="n"/>
      <c r="D857" s="26" t="n"/>
    </row>
    <row r="858">
      <c r="A858" t="n">
        <v>857</v>
      </c>
      <c r="C858" s="25" t="n"/>
      <c r="D858" s="26" t="n"/>
    </row>
    <row r="859">
      <c r="A859" t="n">
        <v>858</v>
      </c>
      <c r="C859" s="25" t="n"/>
      <c r="D859" s="26" t="n"/>
    </row>
    <row r="860">
      <c r="A860" t="n">
        <v>859</v>
      </c>
      <c r="C860" s="25" t="n"/>
      <c r="D860" s="26" t="n"/>
    </row>
    <row r="861">
      <c r="A861" t="n">
        <v>860</v>
      </c>
      <c r="C861" s="25" t="n"/>
      <c r="D861" s="26" t="n"/>
    </row>
    <row r="862">
      <c r="A862" t="n">
        <v>861</v>
      </c>
      <c r="C862" s="25" t="n"/>
      <c r="D862" s="26" t="n"/>
    </row>
    <row r="863">
      <c r="A863" t="n">
        <v>862</v>
      </c>
      <c r="C863" s="25" t="n"/>
      <c r="D863" s="26" t="n"/>
    </row>
    <row r="864">
      <c r="A864" t="n">
        <v>863</v>
      </c>
      <c r="C864" s="25" t="n"/>
      <c r="D864" s="26" t="n"/>
    </row>
    <row r="865">
      <c r="A865" t="n">
        <v>864</v>
      </c>
      <c r="C865" s="25" t="n"/>
      <c r="D865" s="26" t="n"/>
    </row>
    <row r="866">
      <c r="A866" t="n">
        <v>865</v>
      </c>
      <c r="C866" s="25" t="n"/>
      <c r="D866" s="26" t="n"/>
    </row>
    <row r="867">
      <c r="A867" t="n">
        <v>866</v>
      </c>
      <c r="C867" s="25" t="n"/>
      <c r="D867" s="26" t="n"/>
    </row>
    <row r="868">
      <c r="A868" t="n">
        <v>867</v>
      </c>
      <c r="C868" s="25" t="n"/>
      <c r="D868" s="26" t="n"/>
    </row>
    <row r="869">
      <c r="A869" t="n">
        <v>868</v>
      </c>
      <c r="C869" s="25" t="n"/>
      <c r="D869" s="26" t="n"/>
    </row>
    <row r="870">
      <c r="A870" t="n">
        <v>869</v>
      </c>
      <c r="C870" s="25" t="n"/>
      <c r="D870" s="26" t="n"/>
    </row>
    <row r="871">
      <c r="A871" t="n">
        <v>870</v>
      </c>
      <c r="C871" s="25" t="n"/>
      <c r="D871" s="26" t="n"/>
    </row>
    <row r="872">
      <c r="A872" t="n">
        <v>871</v>
      </c>
      <c r="C872" s="25" t="n"/>
      <c r="D872" s="26" t="n"/>
    </row>
    <row r="873">
      <c r="A873" t="n">
        <v>872</v>
      </c>
      <c r="C873" s="25" t="n"/>
      <c r="D873" s="26" t="n"/>
    </row>
    <row r="874">
      <c r="A874" t="n">
        <v>873</v>
      </c>
      <c r="C874" s="25" t="n"/>
      <c r="D874" s="26" t="n"/>
    </row>
    <row r="875">
      <c r="A875" t="n">
        <v>874</v>
      </c>
      <c r="C875" s="25" t="n"/>
      <c r="D875" s="26" t="n"/>
    </row>
    <row r="876">
      <c r="A876" t="n">
        <v>875</v>
      </c>
      <c r="C876" s="25" t="n"/>
      <c r="D876" s="26" t="n"/>
    </row>
    <row r="877">
      <c r="A877" t="n">
        <v>876</v>
      </c>
      <c r="C877" s="25" t="n"/>
      <c r="D877" s="26" t="n"/>
    </row>
    <row r="878">
      <c r="A878" t="n">
        <v>877</v>
      </c>
      <c r="C878" s="25" t="n"/>
      <c r="D878" s="26" t="n"/>
    </row>
    <row r="879">
      <c r="A879" t="n">
        <v>878</v>
      </c>
      <c r="C879" s="25" t="n"/>
      <c r="D879" s="26" t="n"/>
    </row>
    <row r="880">
      <c r="A880" t="n">
        <v>879</v>
      </c>
      <c r="C880" s="25" t="n"/>
      <c r="D880" s="26" t="n"/>
    </row>
    <row r="881">
      <c r="A881" t="n">
        <v>880</v>
      </c>
      <c r="C881" s="25" t="n"/>
      <c r="D881" s="26" t="n"/>
    </row>
    <row r="882">
      <c r="A882" t="n">
        <v>881</v>
      </c>
      <c r="C882" s="25" t="n"/>
      <c r="D882" s="26" t="n"/>
    </row>
    <row r="883">
      <c r="A883" t="n">
        <v>882</v>
      </c>
      <c r="C883" s="25" t="n"/>
      <c r="D883" s="26" t="n"/>
    </row>
    <row r="884">
      <c r="A884" t="n">
        <v>883</v>
      </c>
      <c r="C884" s="25" t="n"/>
      <c r="D884" s="26" t="n"/>
    </row>
    <row r="885">
      <c r="A885" t="n">
        <v>884</v>
      </c>
      <c r="C885" s="25" t="n"/>
      <c r="D885" s="26" t="n"/>
    </row>
    <row r="886">
      <c r="A886" t="n">
        <v>885</v>
      </c>
      <c r="C886" s="25" t="n"/>
      <c r="D886" s="26" t="n"/>
    </row>
    <row r="887">
      <c r="A887" t="n">
        <v>886</v>
      </c>
      <c r="C887" s="25" t="n"/>
      <c r="D887" s="26" t="n"/>
    </row>
    <row r="888">
      <c r="A888" t="n">
        <v>887</v>
      </c>
      <c r="C888" s="25" t="n"/>
      <c r="D888" s="26" t="n"/>
    </row>
    <row r="889">
      <c r="A889" t="n">
        <v>888</v>
      </c>
      <c r="C889" s="25" t="n"/>
      <c r="D889" s="26" t="n"/>
    </row>
    <row r="890">
      <c r="A890" t="n">
        <v>889</v>
      </c>
      <c r="C890" s="25" t="n"/>
      <c r="D890" s="26" t="n"/>
    </row>
    <row r="891">
      <c r="A891" t="n">
        <v>890</v>
      </c>
      <c r="C891" s="25" t="n"/>
      <c r="D891" s="26" t="n"/>
    </row>
    <row r="892">
      <c r="A892" t="n">
        <v>891</v>
      </c>
      <c r="C892" s="25" t="n"/>
      <c r="D892" s="26" t="n"/>
    </row>
    <row r="893">
      <c r="A893" t="n">
        <v>892</v>
      </c>
      <c r="C893" s="25" t="n"/>
      <c r="D893" s="26" t="n"/>
    </row>
    <row r="894">
      <c r="A894" t="n">
        <v>893</v>
      </c>
      <c r="C894" s="25" t="n"/>
      <c r="D894" s="26" t="n"/>
    </row>
    <row r="895">
      <c r="A895" t="n">
        <v>894</v>
      </c>
      <c r="C895" s="25" t="n"/>
      <c r="D895" s="26" t="n"/>
    </row>
    <row r="896">
      <c r="A896" t="n">
        <v>895</v>
      </c>
      <c r="C896" s="25" t="n"/>
      <c r="D896" s="26" t="n"/>
    </row>
    <row r="897">
      <c r="A897" t="n">
        <v>896</v>
      </c>
      <c r="C897" s="25" t="n"/>
      <c r="D897" s="26" t="n"/>
    </row>
    <row r="898">
      <c r="A898" t="n">
        <v>897</v>
      </c>
      <c r="C898" s="25" t="n"/>
      <c r="D898" s="26" t="n"/>
    </row>
    <row r="899">
      <c r="A899" t="n">
        <v>898</v>
      </c>
      <c r="C899" s="25" t="n"/>
      <c r="D899" s="26" t="n"/>
    </row>
    <row r="900">
      <c r="A900" t="n">
        <v>899</v>
      </c>
      <c r="C900" s="25" t="n"/>
      <c r="D900" s="26" t="n"/>
    </row>
    <row r="901">
      <c r="A901" t="n">
        <v>900</v>
      </c>
      <c r="C901" s="25" t="n"/>
      <c r="D901" s="26" t="n"/>
    </row>
    <row r="902">
      <c r="A902" t="n">
        <v>901</v>
      </c>
      <c r="C902" s="25" t="n"/>
      <c r="D902" s="26" t="n"/>
    </row>
    <row r="903">
      <c r="A903" t="n">
        <v>902</v>
      </c>
      <c r="C903" s="25" t="n"/>
      <c r="D903" s="26" t="n"/>
    </row>
    <row r="904">
      <c r="A904" t="n">
        <v>903</v>
      </c>
      <c r="C904" s="25" t="n"/>
      <c r="D904" s="26" t="n"/>
    </row>
    <row r="905">
      <c r="A905" t="n">
        <v>904</v>
      </c>
      <c r="C905" s="25" t="n"/>
      <c r="D905" s="26" t="n"/>
    </row>
    <row r="906">
      <c r="A906" t="n">
        <v>905</v>
      </c>
      <c r="C906" s="25" t="n"/>
      <c r="D906" s="26" t="n"/>
    </row>
    <row r="907">
      <c r="A907" t="n">
        <v>906</v>
      </c>
      <c r="C907" s="25" t="n"/>
      <c r="D907" s="26" t="n"/>
    </row>
    <row r="908">
      <c r="A908" t="n">
        <v>907</v>
      </c>
      <c r="C908" s="25" t="n"/>
      <c r="D908" s="26" t="n"/>
    </row>
    <row r="909">
      <c r="A909" t="n">
        <v>908</v>
      </c>
      <c r="C909" s="25" t="n"/>
      <c r="D909" s="26" t="n"/>
    </row>
    <row r="910">
      <c r="A910" t="n">
        <v>909</v>
      </c>
      <c r="C910" s="25" t="n"/>
      <c r="D910" s="26" t="n"/>
    </row>
    <row r="911">
      <c r="A911" t="n">
        <v>910</v>
      </c>
      <c r="C911" s="25" t="n"/>
      <c r="D911" s="26" t="n"/>
    </row>
    <row r="912">
      <c r="A912" t="n">
        <v>911</v>
      </c>
      <c r="C912" s="25" t="n"/>
      <c r="D912" s="26" t="n"/>
    </row>
    <row r="913">
      <c r="A913" t="n">
        <v>912</v>
      </c>
      <c r="C913" s="25" t="n"/>
      <c r="D913" s="26" t="n"/>
    </row>
    <row r="914">
      <c r="A914" t="n">
        <v>913</v>
      </c>
      <c r="C914" s="25" t="n"/>
      <c r="D914" s="26" t="n"/>
    </row>
    <row r="915">
      <c r="A915" t="n">
        <v>914</v>
      </c>
      <c r="C915" s="25" t="n"/>
      <c r="D915" s="26" t="n"/>
    </row>
    <row r="916">
      <c r="A916" t="n">
        <v>915</v>
      </c>
      <c r="C916" s="25" t="n"/>
      <c r="D916" s="26" t="n"/>
    </row>
    <row r="917">
      <c r="A917" t="n">
        <v>916</v>
      </c>
      <c r="C917" s="25" t="n"/>
      <c r="D917" s="26" t="n"/>
    </row>
    <row r="918">
      <c r="A918" t="n">
        <v>917</v>
      </c>
      <c r="C918" s="25" t="n"/>
      <c r="D918" s="26" t="n"/>
    </row>
    <row r="919">
      <c r="A919" t="n">
        <v>918</v>
      </c>
      <c r="C919" s="25" t="n"/>
      <c r="D919" s="26" t="n"/>
    </row>
    <row r="920">
      <c r="A920" t="n">
        <v>919</v>
      </c>
      <c r="C920" s="25" t="n"/>
      <c r="D920" s="26" t="n"/>
    </row>
    <row r="921">
      <c r="A921" t="n">
        <v>920</v>
      </c>
      <c r="C921" s="25" t="n"/>
      <c r="D921" s="26" t="n"/>
    </row>
    <row r="922">
      <c r="A922" t="n">
        <v>921</v>
      </c>
      <c r="C922" s="25" t="n"/>
      <c r="D922" s="26" t="n"/>
    </row>
    <row r="923">
      <c r="A923" t="n">
        <v>922</v>
      </c>
      <c r="C923" s="25" t="n"/>
      <c r="D923" s="26" t="n"/>
    </row>
    <row r="924">
      <c r="A924" t="n">
        <v>923</v>
      </c>
      <c r="C924" s="25" t="n"/>
      <c r="D924" s="26" t="n"/>
    </row>
    <row r="925">
      <c r="A925" t="n">
        <v>924</v>
      </c>
      <c r="C925" s="25" t="n"/>
      <c r="D925" s="26" t="n"/>
    </row>
    <row r="926">
      <c r="A926" t="n">
        <v>925</v>
      </c>
      <c r="C926" s="25" t="n"/>
      <c r="D926" s="26" t="n"/>
    </row>
    <row r="927">
      <c r="A927" t="n">
        <v>926</v>
      </c>
      <c r="C927" s="25" t="n"/>
      <c r="D927" s="26" t="n"/>
    </row>
    <row r="928">
      <c r="A928" t="n">
        <v>927</v>
      </c>
      <c r="C928" s="25" t="n"/>
      <c r="D928" s="26" t="n"/>
    </row>
    <row r="929">
      <c r="A929" t="n">
        <v>928</v>
      </c>
      <c r="C929" s="25" t="n"/>
      <c r="D929" s="26" t="n"/>
    </row>
    <row r="930">
      <c r="A930" t="n">
        <v>929</v>
      </c>
      <c r="C930" s="25" t="n"/>
      <c r="D930" s="26" t="n"/>
    </row>
    <row r="931">
      <c r="A931" t="n">
        <v>930</v>
      </c>
      <c r="C931" s="25" t="n"/>
      <c r="D931" s="26" t="n"/>
    </row>
    <row r="932">
      <c r="A932" t="n">
        <v>931</v>
      </c>
      <c r="C932" s="25" t="n"/>
      <c r="D932" s="26" t="n"/>
    </row>
    <row r="933">
      <c r="A933" t="n">
        <v>932</v>
      </c>
      <c r="C933" s="25" t="n"/>
      <c r="D933" s="26" t="n"/>
    </row>
    <row r="934">
      <c r="A934" t="n">
        <v>933</v>
      </c>
      <c r="C934" s="25" t="n"/>
      <c r="D934" s="26" t="n"/>
    </row>
    <row r="935">
      <c r="A935" t="n">
        <v>934</v>
      </c>
      <c r="C935" s="25" t="n"/>
      <c r="D935" s="26" t="n"/>
    </row>
    <row r="936">
      <c r="A936" t="n">
        <v>935</v>
      </c>
      <c r="C936" s="25" t="n"/>
      <c r="D936" s="26" t="n"/>
    </row>
    <row r="937">
      <c r="A937" t="n">
        <v>936</v>
      </c>
      <c r="C937" s="25" t="n"/>
      <c r="D937" s="26" t="n"/>
    </row>
    <row r="938">
      <c r="A938" t="n">
        <v>937</v>
      </c>
      <c r="C938" s="25" t="n"/>
      <c r="D938" s="26" t="n"/>
    </row>
    <row r="939">
      <c r="A939" t="n">
        <v>938</v>
      </c>
      <c r="C939" s="25" t="n"/>
      <c r="D939" s="26" t="n"/>
    </row>
    <row r="940">
      <c r="A940" t="n">
        <v>939</v>
      </c>
      <c r="C940" s="25" t="n"/>
      <c r="D940" s="26" t="n"/>
    </row>
    <row r="941">
      <c r="A941" t="n">
        <v>940</v>
      </c>
      <c r="C941" s="25" t="n"/>
      <c r="D941" s="26" t="n"/>
    </row>
    <row r="942">
      <c r="A942" t="n">
        <v>941</v>
      </c>
      <c r="C942" s="25" t="n"/>
      <c r="D942" s="26" t="n"/>
    </row>
    <row r="943">
      <c r="A943" t="n">
        <v>942</v>
      </c>
      <c r="C943" s="25" t="n"/>
      <c r="D943" s="26" t="n"/>
    </row>
    <row r="944">
      <c r="A944" t="n">
        <v>943</v>
      </c>
      <c r="C944" s="25" t="n"/>
      <c r="D944" s="26" t="n"/>
    </row>
    <row r="945">
      <c r="A945" t="n">
        <v>944</v>
      </c>
      <c r="C945" s="25" t="n"/>
      <c r="D945" s="26" t="n"/>
    </row>
    <row r="946">
      <c r="A946" t="n">
        <v>945</v>
      </c>
      <c r="C946" s="25" t="n"/>
      <c r="D946" s="26" t="n"/>
    </row>
    <row r="947">
      <c r="A947" t="n">
        <v>946</v>
      </c>
      <c r="C947" s="25" t="n"/>
      <c r="D947" s="26" t="n"/>
    </row>
    <row r="948">
      <c r="A948" t="n">
        <v>947</v>
      </c>
      <c r="C948" s="25" t="n"/>
      <c r="D948" s="26" t="n"/>
    </row>
    <row r="949">
      <c r="A949" t="n">
        <v>948</v>
      </c>
      <c r="C949" s="25" t="n"/>
      <c r="D949" s="26" t="n"/>
    </row>
    <row r="950">
      <c r="A950" t="n">
        <v>949</v>
      </c>
      <c r="C950" s="25" t="n"/>
      <c r="D950" s="26" t="n"/>
    </row>
    <row r="951">
      <c r="A951" t="n">
        <v>950</v>
      </c>
      <c r="C951" s="25" t="n"/>
      <c r="D951" s="26" t="n"/>
    </row>
    <row r="952">
      <c r="A952" t="n">
        <v>951</v>
      </c>
      <c r="C952" s="25" t="n"/>
      <c r="D952" s="26" t="n"/>
    </row>
    <row r="953">
      <c r="A953" t="n">
        <v>952</v>
      </c>
      <c r="C953" s="25" t="n"/>
      <c r="D953" s="26" t="n"/>
    </row>
    <row r="954">
      <c r="A954" t="n">
        <v>953</v>
      </c>
      <c r="C954" s="25" t="n"/>
      <c r="D954" s="26" t="n"/>
    </row>
    <row r="955">
      <c r="A955" t="n">
        <v>954</v>
      </c>
      <c r="C955" s="25" t="n"/>
      <c r="D955" s="26" t="n"/>
    </row>
    <row r="956">
      <c r="A956" t="n">
        <v>955</v>
      </c>
      <c r="C956" s="25" t="n"/>
      <c r="D956" s="26" t="n"/>
    </row>
    <row r="957">
      <c r="A957" t="n">
        <v>956</v>
      </c>
      <c r="C957" s="25" t="n"/>
      <c r="D957" s="26" t="n"/>
    </row>
    <row r="958">
      <c r="A958" t="n">
        <v>957</v>
      </c>
      <c r="C958" s="25" t="n"/>
      <c r="D958" s="26" t="n"/>
    </row>
    <row r="959">
      <c r="A959" t="n">
        <v>958</v>
      </c>
      <c r="C959" s="25" t="n"/>
      <c r="D959" s="26" t="n"/>
    </row>
    <row r="960">
      <c r="A960" t="n">
        <v>959</v>
      </c>
      <c r="C960" s="25" t="n"/>
      <c r="D960" s="26" t="n"/>
    </row>
    <row r="961">
      <c r="A961" t="n">
        <v>960</v>
      </c>
      <c r="C961" s="25" t="n"/>
      <c r="D961" s="26" t="n"/>
    </row>
    <row r="962">
      <c r="A962" t="n">
        <v>961</v>
      </c>
      <c r="C962" s="25" t="n"/>
      <c r="D962" s="26" t="n"/>
    </row>
    <row r="963">
      <c r="A963" t="n">
        <v>962</v>
      </c>
      <c r="C963" s="25" t="n"/>
      <c r="D963" s="26" t="n"/>
    </row>
    <row r="964">
      <c r="A964" t="n">
        <v>963</v>
      </c>
      <c r="C964" s="25" t="n"/>
      <c r="D964" s="26" t="n"/>
    </row>
    <row r="965">
      <c r="A965" t="n">
        <v>964</v>
      </c>
      <c r="C965" s="25" t="n"/>
      <c r="D965" s="26" t="n"/>
    </row>
    <row r="966">
      <c r="A966" t="n">
        <v>965</v>
      </c>
      <c r="C966" s="25" t="n"/>
      <c r="D966" s="26" t="n"/>
    </row>
    <row r="967">
      <c r="A967" t="n">
        <v>966</v>
      </c>
      <c r="C967" s="25" t="n"/>
      <c r="D967" s="26" t="n"/>
    </row>
    <row r="968">
      <c r="A968" t="n">
        <v>967</v>
      </c>
      <c r="C968" s="25" t="n"/>
      <c r="D968" s="26" t="n"/>
    </row>
    <row r="969">
      <c r="A969" t="n">
        <v>968</v>
      </c>
      <c r="C969" s="25" t="n"/>
      <c r="D969" s="26" t="n"/>
    </row>
    <row r="970">
      <c r="A970" t="n">
        <v>969</v>
      </c>
      <c r="C970" s="25" t="n"/>
      <c r="D970" s="26" t="n"/>
    </row>
    <row r="971">
      <c r="A971" t="n">
        <v>970</v>
      </c>
      <c r="C971" s="25" t="n"/>
      <c r="D971" s="26" t="n"/>
    </row>
    <row r="972">
      <c r="A972" t="n">
        <v>971</v>
      </c>
      <c r="C972" s="25" t="n"/>
      <c r="D972" s="26" t="n"/>
    </row>
    <row r="973">
      <c r="A973" t="n">
        <v>972</v>
      </c>
      <c r="C973" s="25" t="n"/>
      <c r="D973" s="26" t="n"/>
    </row>
    <row r="974">
      <c r="A974" t="n">
        <v>973</v>
      </c>
      <c r="C974" s="25" t="n"/>
      <c r="D974" s="26" t="n"/>
    </row>
    <row r="975">
      <c r="A975" t="n">
        <v>974</v>
      </c>
      <c r="C975" s="25" t="n"/>
      <c r="D975" s="26" t="n"/>
    </row>
    <row r="976">
      <c r="A976" t="n">
        <v>975</v>
      </c>
      <c r="C976" s="25" t="n"/>
      <c r="D976" s="26" t="n"/>
    </row>
    <row r="977">
      <c r="A977" t="n">
        <v>976</v>
      </c>
      <c r="C977" s="25" t="n"/>
      <c r="D977" s="26" t="n"/>
    </row>
    <row r="978">
      <c r="A978" t="n">
        <v>977</v>
      </c>
      <c r="C978" s="25" t="n"/>
      <c r="D978" s="26" t="n"/>
    </row>
    <row r="979">
      <c r="A979" t="n">
        <v>978</v>
      </c>
      <c r="C979" s="25" t="n"/>
      <c r="D979" s="26" t="n"/>
    </row>
    <row r="980">
      <c r="A980" t="n">
        <v>979</v>
      </c>
      <c r="C980" s="25" t="n"/>
      <c r="D980" s="26" t="n"/>
    </row>
    <row r="981">
      <c r="A981" t="n">
        <v>980</v>
      </c>
      <c r="C981" s="25" t="n"/>
      <c r="D981" s="26" t="n"/>
    </row>
    <row r="982">
      <c r="A982" t="n">
        <v>981</v>
      </c>
      <c r="C982" s="25" t="n"/>
      <c r="D982" s="26" t="n"/>
    </row>
    <row r="983">
      <c r="A983" t="n">
        <v>982</v>
      </c>
      <c r="C983" s="25" t="n"/>
      <c r="D983" s="26" t="n"/>
    </row>
    <row r="984">
      <c r="A984" t="n">
        <v>983</v>
      </c>
      <c r="C984" s="25" t="n"/>
      <c r="D984" s="26" t="n"/>
    </row>
    <row r="985">
      <c r="A985" t="n">
        <v>984</v>
      </c>
      <c r="C985" s="25" t="n"/>
      <c r="D985" s="26" t="n"/>
    </row>
    <row r="986">
      <c r="A986" t="n">
        <v>985</v>
      </c>
      <c r="C986" s="25" t="n"/>
      <c r="D986" s="26" t="n"/>
    </row>
    <row r="987">
      <c r="A987" t="n">
        <v>986</v>
      </c>
      <c r="C987" s="25" t="n"/>
      <c r="D987" s="26" t="n"/>
    </row>
    <row r="988">
      <c r="A988" t="n">
        <v>987</v>
      </c>
      <c r="C988" s="25" t="n"/>
      <c r="D988" s="26" t="n"/>
    </row>
    <row r="989">
      <c r="A989" t="n">
        <v>988</v>
      </c>
      <c r="C989" s="25" t="n"/>
      <c r="D989" s="26" t="n"/>
    </row>
    <row r="990">
      <c r="A990" t="n">
        <v>989</v>
      </c>
      <c r="C990" s="25" t="n"/>
      <c r="D990" s="26" t="n"/>
    </row>
    <row r="991">
      <c r="A991" t="n">
        <v>990</v>
      </c>
      <c r="C991" s="25" t="n"/>
      <c r="D991" s="26" t="n"/>
    </row>
    <row r="992">
      <c r="A992" t="n">
        <v>991</v>
      </c>
      <c r="C992" s="25" t="n"/>
      <c r="D992" s="26" t="n"/>
    </row>
    <row r="993">
      <c r="A993" t="n">
        <v>992</v>
      </c>
      <c r="C993" s="25" t="n"/>
      <c r="D993" s="26" t="n"/>
    </row>
    <row r="994">
      <c r="A994" t="n">
        <v>993</v>
      </c>
      <c r="C994" s="25" t="n"/>
      <c r="D994" s="26" t="n"/>
    </row>
    <row r="995">
      <c r="A995" t="n">
        <v>994</v>
      </c>
      <c r="C995" s="25" t="n"/>
      <c r="D995" s="26" t="n"/>
    </row>
    <row r="996">
      <c r="A996" t="n">
        <v>995</v>
      </c>
      <c r="C996" s="25" t="n"/>
      <c r="D996" s="26" t="n"/>
    </row>
    <row r="997">
      <c r="A997" t="n">
        <v>996</v>
      </c>
      <c r="C997" s="25" t="n"/>
      <c r="D997" s="26" t="n"/>
    </row>
    <row r="998">
      <c r="A998" t="n">
        <v>997</v>
      </c>
      <c r="C998" s="25" t="n"/>
      <c r="D998" s="26" t="n"/>
    </row>
    <row r="999">
      <c r="A999" t="n">
        <v>998</v>
      </c>
      <c r="C999" s="25" t="n"/>
      <c r="D999" s="26" t="n"/>
    </row>
    <row r="1000">
      <c r="A1000" t="n">
        <v>999</v>
      </c>
      <c r="C1000" s="25" t="n"/>
      <c r="D1000" s="26" t="n"/>
    </row>
    <row r="1001">
      <c r="A1001" t="n">
        <v>1000</v>
      </c>
      <c r="C1001" s="25" t="n"/>
      <c r="D1001" s="26" t="n"/>
    </row>
  </sheetData>
  <dataValidations count="1">
    <dataValidation sqref="B2:B1001" showDropDown="0" showInputMessage="0" showErrorMessage="0" allowBlank="0" operator="between">
      <formula1>1</formula1>
      <formula2>300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5" t="inlineStr">
        <is>
          <t>RESUMO FINANCEIRO - LABORATÓRIO 217</t>
        </is>
      </c>
      <c r="B1" s="1" t="n"/>
    </row>
    <row r="3">
      <c r="A3" s="5" t="inlineStr">
        <is>
          <t>Indicador</t>
        </is>
      </c>
      <c r="B3" s="5" t="inlineStr">
        <is>
          <t>Valor</t>
        </is>
      </c>
    </row>
    <row r="4">
      <c r="A4" s="16" t="inlineStr">
        <is>
          <t>Total das compras</t>
        </is>
      </c>
      <c r="B4" s="26">
        <f>SUM(Controle!F2:F301)</f>
        <v/>
      </c>
    </row>
    <row r="5">
      <c r="A5" s="16" t="inlineStr">
        <is>
          <t>Total pago</t>
        </is>
      </c>
      <c r="B5" s="26">
        <f>SUM(Controle!G2:G301)</f>
        <v/>
      </c>
    </row>
    <row r="6">
      <c r="A6" s="16" t="inlineStr">
        <is>
          <t>Dívida atual</t>
        </is>
      </c>
      <c r="B6" s="26">
        <f>SUM(Controle!H2:H301)</f>
        <v/>
      </c>
    </row>
    <row r="7">
      <c r="A7" s="16" t="inlineStr">
        <is>
          <t>Itens pendentes</t>
        </is>
      </c>
      <c r="B7">
        <f>COUNTIF(Controle!I2:I301,"PENDENTE")</f>
        <v/>
      </c>
    </row>
    <row r="8">
      <c r="A8" s="16" t="inlineStr">
        <is>
          <t>Itens parcialmente pagos</t>
        </is>
      </c>
      <c r="B8">
        <f>COUNTIF(Controle!I2:I301,"PARCIAL")</f>
        <v/>
      </c>
    </row>
    <row r="10">
      <c r="A10" t="inlineStr">
        <is>
          <t>Como funciona</t>
        </is>
      </c>
      <c r="B10" s="24" t="str"/>
    </row>
    <row r="11">
      <c r="A11" t="inlineStr">
        <is>
          <t>1</t>
        </is>
      </c>
      <c r="B11" s="24" t="inlineStr">
        <is>
          <t>Cadastre o item na aba Controle. O ID já existe e não precisa ser digitado.</t>
        </is>
      </c>
    </row>
    <row r="12">
      <c r="A12" t="inlineStr">
        <is>
          <t>2</t>
        </is>
      </c>
      <c r="B12" s="24" t="inlineStr">
        <is>
          <t>Registre cada pagamento na aba Pagamentos usando o ID do item. O saldo e o status são atualizados automaticamente.</t>
        </is>
      </c>
    </row>
    <row r="13">
      <c r="A13" t="inlineStr">
        <is>
          <t>3</t>
        </is>
      </c>
      <c r="B13" s="24" t="inlineStr">
        <is>
          <t>Quando o saldo chega a zero, o status vira PAGO e o item deixa de compor a dívida atual.</t>
        </is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50" customWidth="1" min="4" max="4"/>
  </cols>
  <sheetData>
    <row r="1">
      <c r="A1" s="22" t="inlineStr">
        <is>
          <t>ID</t>
        </is>
      </c>
      <c r="B1" s="22" t="inlineStr">
        <is>
          <t>Data</t>
        </is>
      </c>
      <c r="C1" s="22" t="inlineStr">
        <is>
          <t>ID do item (opcional)</t>
        </is>
      </c>
      <c r="D1" s="22" t="inlineStr">
        <is>
          <t>Observação</t>
        </is>
      </c>
    </row>
    <row r="2">
      <c r="A2" t="n">
        <v>1</v>
      </c>
      <c r="B2" s="25" t="n"/>
    </row>
    <row r="3">
      <c r="A3" t="n">
        <v>2</v>
      </c>
      <c r="B3" s="25" t="n"/>
    </row>
    <row r="4">
      <c r="A4" t="n">
        <v>3</v>
      </c>
      <c r="B4" s="25" t="n"/>
    </row>
    <row r="5">
      <c r="A5" t="n">
        <v>4</v>
      </c>
      <c r="B5" s="25" t="n"/>
    </row>
    <row r="6">
      <c r="A6" t="n">
        <v>5</v>
      </c>
      <c r="B6" s="25" t="n"/>
    </row>
    <row r="7">
      <c r="A7" t="n">
        <v>6</v>
      </c>
      <c r="B7" s="25" t="n"/>
    </row>
    <row r="8">
      <c r="A8" t="n">
        <v>7</v>
      </c>
      <c r="B8" s="25" t="n"/>
    </row>
    <row r="9">
      <c r="A9" t="n">
        <v>8</v>
      </c>
      <c r="B9" s="25" t="n"/>
    </row>
    <row r="10">
      <c r="A10" t="n">
        <v>9</v>
      </c>
      <c r="B10" s="25" t="n"/>
    </row>
    <row r="11">
      <c r="A11" t="n">
        <v>10</v>
      </c>
      <c r="B11" s="25" t="n"/>
    </row>
    <row r="12">
      <c r="A12" t="n">
        <v>11</v>
      </c>
      <c r="B12" s="25" t="n"/>
    </row>
    <row r="13">
      <c r="A13" t="n">
        <v>12</v>
      </c>
      <c r="B13" s="25" t="n"/>
    </row>
    <row r="14">
      <c r="A14" t="n">
        <v>13</v>
      </c>
      <c r="B14" s="25" t="n"/>
    </row>
    <row r="15">
      <c r="A15" t="n">
        <v>14</v>
      </c>
      <c r="B15" s="25" t="n"/>
    </row>
    <row r="16">
      <c r="A16" t="n">
        <v>15</v>
      </c>
      <c r="B16" s="25" t="n"/>
    </row>
    <row r="17">
      <c r="A17" t="n">
        <v>16</v>
      </c>
      <c r="B17" s="25" t="n"/>
    </row>
    <row r="18">
      <c r="A18" t="n">
        <v>17</v>
      </c>
      <c r="B18" s="25" t="n"/>
    </row>
    <row r="19">
      <c r="A19" t="n">
        <v>18</v>
      </c>
      <c r="B19" s="25" t="n"/>
    </row>
    <row r="20">
      <c r="A20" t="n">
        <v>19</v>
      </c>
      <c r="B20" s="25" t="n"/>
    </row>
    <row r="21">
      <c r="A21" t="n">
        <v>20</v>
      </c>
      <c r="B21" s="25" t="n"/>
    </row>
    <row r="22">
      <c r="A22" t="n">
        <v>21</v>
      </c>
      <c r="B22" s="25" t="n"/>
    </row>
    <row r="23">
      <c r="A23" t="n">
        <v>22</v>
      </c>
      <c r="B23" s="25" t="n"/>
    </row>
    <row r="24">
      <c r="A24" t="n">
        <v>23</v>
      </c>
      <c r="B24" s="25" t="n"/>
    </row>
    <row r="25">
      <c r="A25" t="n">
        <v>24</v>
      </c>
      <c r="B25" s="25" t="n"/>
    </row>
    <row r="26">
      <c r="A26" t="n">
        <v>25</v>
      </c>
      <c r="B26" s="25" t="n"/>
    </row>
    <row r="27">
      <c r="A27" t="n">
        <v>26</v>
      </c>
      <c r="B27" s="25" t="n"/>
    </row>
    <row r="28">
      <c r="A28" t="n">
        <v>27</v>
      </c>
      <c r="B28" s="25" t="n"/>
    </row>
    <row r="29">
      <c r="A29" t="n">
        <v>28</v>
      </c>
      <c r="B29" s="25" t="n"/>
    </row>
    <row r="30">
      <c r="A30" t="n">
        <v>29</v>
      </c>
      <c r="B30" s="25" t="n"/>
    </row>
    <row r="31">
      <c r="A31" t="n">
        <v>30</v>
      </c>
      <c r="B31" s="25" t="n"/>
    </row>
    <row r="32">
      <c r="A32" t="n">
        <v>31</v>
      </c>
      <c r="B32" s="25" t="n"/>
    </row>
    <row r="33">
      <c r="A33" t="n">
        <v>32</v>
      </c>
      <c r="B33" s="25" t="n"/>
    </row>
    <row r="34">
      <c r="A34" t="n">
        <v>33</v>
      </c>
      <c r="B34" s="25" t="n"/>
    </row>
    <row r="35">
      <c r="A35" t="n">
        <v>34</v>
      </c>
      <c r="B35" s="25" t="n"/>
    </row>
    <row r="36">
      <c r="A36" t="n">
        <v>35</v>
      </c>
      <c r="B36" s="25" t="n"/>
    </row>
    <row r="37">
      <c r="A37" t="n">
        <v>36</v>
      </c>
      <c r="B37" s="25" t="n"/>
    </row>
    <row r="38">
      <c r="A38" t="n">
        <v>37</v>
      </c>
      <c r="B38" s="25" t="n"/>
    </row>
    <row r="39">
      <c r="A39" t="n">
        <v>38</v>
      </c>
      <c r="B39" s="25" t="n"/>
    </row>
    <row r="40">
      <c r="A40" t="n">
        <v>39</v>
      </c>
      <c r="B40" s="25" t="n"/>
    </row>
    <row r="41">
      <c r="A41" t="n">
        <v>40</v>
      </c>
      <c r="B41" s="25" t="n"/>
    </row>
    <row r="42">
      <c r="A42" t="n">
        <v>41</v>
      </c>
      <c r="B42" s="25" t="n"/>
    </row>
    <row r="43">
      <c r="A43" t="n">
        <v>42</v>
      </c>
      <c r="B43" s="25" t="n"/>
    </row>
    <row r="44">
      <c r="A44" t="n">
        <v>43</v>
      </c>
      <c r="B44" s="25" t="n"/>
    </row>
    <row r="45">
      <c r="A45" t="n">
        <v>44</v>
      </c>
      <c r="B45" s="25" t="n"/>
    </row>
    <row r="46">
      <c r="A46" t="n">
        <v>45</v>
      </c>
      <c r="B46" s="25" t="n"/>
    </row>
    <row r="47">
      <c r="A47" t="n">
        <v>46</v>
      </c>
      <c r="B47" s="25" t="n"/>
    </row>
    <row r="48">
      <c r="A48" t="n">
        <v>47</v>
      </c>
      <c r="B48" s="25" t="n"/>
    </row>
    <row r="49">
      <c r="A49" t="n">
        <v>48</v>
      </c>
      <c r="B49" s="25" t="n"/>
    </row>
    <row r="50">
      <c r="A50" t="n">
        <v>49</v>
      </c>
      <c r="B50" s="25" t="n"/>
    </row>
    <row r="51">
      <c r="A51" t="n">
        <v>50</v>
      </c>
      <c r="B51" s="25" t="n"/>
    </row>
    <row r="52">
      <c r="A52" t="n">
        <v>51</v>
      </c>
      <c r="B52" s="25" t="n"/>
    </row>
    <row r="53">
      <c r="A53" t="n">
        <v>52</v>
      </c>
      <c r="B53" s="25" t="n"/>
    </row>
    <row r="54">
      <c r="A54" t="n">
        <v>53</v>
      </c>
      <c r="B54" s="25" t="n"/>
    </row>
    <row r="55">
      <c r="A55" t="n">
        <v>54</v>
      </c>
      <c r="B55" s="25" t="n"/>
    </row>
    <row r="56">
      <c r="A56" t="n">
        <v>55</v>
      </c>
      <c r="B56" s="25" t="n"/>
    </row>
    <row r="57">
      <c r="A57" t="n">
        <v>56</v>
      </c>
      <c r="B57" s="25" t="n"/>
    </row>
    <row r="58">
      <c r="A58" t="n">
        <v>57</v>
      </c>
      <c r="B58" s="25" t="n"/>
    </row>
    <row r="59">
      <c r="A59" t="n">
        <v>58</v>
      </c>
      <c r="B59" s="25" t="n"/>
    </row>
    <row r="60">
      <c r="A60" t="n">
        <v>59</v>
      </c>
      <c r="B60" s="25" t="n"/>
    </row>
    <row r="61">
      <c r="A61" t="n">
        <v>60</v>
      </c>
      <c r="B61" s="25" t="n"/>
    </row>
    <row r="62">
      <c r="A62" t="n">
        <v>61</v>
      </c>
      <c r="B62" s="25" t="n"/>
    </row>
    <row r="63">
      <c r="A63" t="n">
        <v>62</v>
      </c>
      <c r="B63" s="25" t="n"/>
    </row>
    <row r="64">
      <c r="A64" t="n">
        <v>63</v>
      </c>
      <c r="B64" s="25" t="n"/>
    </row>
    <row r="65">
      <c r="A65" t="n">
        <v>64</v>
      </c>
      <c r="B65" s="25" t="n"/>
    </row>
    <row r="66">
      <c r="A66" t="n">
        <v>65</v>
      </c>
      <c r="B66" s="25" t="n"/>
    </row>
    <row r="67">
      <c r="A67" t="n">
        <v>66</v>
      </c>
      <c r="B67" s="25" t="n"/>
    </row>
    <row r="68">
      <c r="A68" t="n">
        <v>67</v>
      </c>
      <c r="B68" s="25" t="n"/>
    </row>
    <row r="69">
      <c r="A69" t="n">
        <v>68</v>
      </c>
      <c r="B69" s="25" t="n"/>
    </row>
    <row r="70">
      <c r="A70" t="n">
        <v>69</v>
      </c>
      <c r="B70" s="25" t="n"/>
    </row>
    <row r="71">
      <c r="A71" t="n">
        <v>70</v>
      </c>
      <c r="B71" s="25" t="n"/>
    </row>
    <row r="72">
      <c r="A72" t="n">
        <v>71</v>
      </c>
      <c r="B72" s="25" t="n"/>
    </row>
    <row r="73">
      <c r="A73" t="n">
        <v>72</v>
      </c>
      <c r="B73" s="25" t="n"/>
    </row>
    <row r="74">
      <c r="A74" t="n">
        <v>73</v>
      </c>
      <c r="B74" s="25" t="n"/>
    </row>
    <row r="75">
      <c r="A75" t="n">
        <v>74</v>
      </c>
      <c r="B75" s="25" t="n"/>
    </row>
    <row r="76">
      <c r="A76" t="n">
        <v>75</v>
      </c>
      <c r="B76" s="25" t="n"/>
    </row>
    <row r="77">
      <c r="A77" t="n">
        <v>76</v>
      </c>
      <c r="B77" s="25" t="n"/>
    </row>
    <row r="78">
      <c r="A78" t="n">
        <v>77</v>
      </c>
      <c r="B78" s="25" t="n"/>
    </row>
    <row r="79">
      <c r="A79" t="n">
        <v>78</v>
      </c>
      <c r="B79" s="25" t="n"/>
    </row>
    <row r="80">
      <c r="A80" t="n">
        <v>79</v>
      </c>
      <c r="B80" s="25" t="n"/>
    </row>
    <row r="81">
      <c r="A81" t="n">
        <v>80</v>
      </c>
      <c r="B81" s="25" t="n"/>
    </row>
    <row r="82">
      <c r="A82" t="n">
        <v>81</v>
      </c>
      <c r="B82" s="25" t="n"/>
    </row>
    <row r="83">
      <c r="A83" t="n">
        <v>82</v>
      </c>
      <c r="B83" s="25" t="n"/>
    </row>
    <row r="84">
      <c r="A84" t="n">
        <v>83</v>
      </c>
      <c r="B84" s="25" t="n"/>
    </row>
    <row r="85">
      <c r="A85" t="n">
        <v>84</v>
      </c>
      <c r="B85" s="25" t="n"/>
    </row>
    <row r="86">
      <c r="A86" t="n">
        <v>85</v>
      </c>
      <c r="B86" s="25" t="n"/>
    </row>
    <row r="87">
      <c r="A87" t="n">
        <v>86</v>
      </c>
      <c r="B87" s="25" t="n"/>
    </row>
    <row r="88">
      <c r="A88" t="n">
        <v>87</v>
      </c>
      <c r="B88" s="25" t="n"/>
    </row>
    <row r="89">
      <c r="A89" t="n">
        <v>88</v>
      </c>
      <c r="B89" s="25" t="n"/>
    </row>
    <row r="90">
      <c r="A90" t="n">
        <v>89</v>
      </c>
      <c r="B90" s="25" t="n"/>
    </row>
    <row r="91">
      <c r="A91" t="n">
        <v>90</v>
      </c>
      <c r="B91" s="25" t="n"/>
    </row>
    <row r="92">
      <c r="A92" t="n">
        <v>91</v>
      </c>
      <c r="B92" s="25" t="n"/>
    </row>
    <row r="93">
      <c r="A93" t="n">
        <v>92</v>
      </c>
      <c r="B93" s="25" t="n"/>
    </row>
    <row r="94">
      <c r="A94" t="n">
        <v>93</v>
      </c>
      <c r="B94" s="25" t="n"/>
    </row>
    <row r="95">
      <c r="A95" t="n">
        <v>94</v>
      </c>
      <c r="B95" s="25" t="n"/>
    </row>
    <row r="96">
      <c r="A96" t="n">
        <v>95</v>
      </c>
      <c r="B96" s="25" t="n"/>
    </row>
    <row r="97">
      <c r="A97" t="n">
        <v>96</v>
      </c>
      <c r="B97" s="25" t="n"/>
    </row>
    <row r="98">
      <c r="A98" t="n">
        <v>97</v>
      </c>
      <c r="B98" s="25" t="n"/>
    </row>
    <row r="99">
      <c r="A99" t="n">
        <v>98</v>
      </c>
      <c r="B99" s="25" t="n"/>
    </row>
    <row r="100">
      <c r="A100" t="n">
        <v>99</v>
      </c>
      <c r="B100" s="25" t="n"/>
    </row>
    <row r="101">
      <c r="A101" t="n">
        <v>100</v>
      </c>
      <c r="B101" s="25" t="n"/>
    </row>
    <row r="102">
      <c r="A102" t="n">
        <v>101</v>
      </c>
      <c r="B102" s="25" t="n"/>
    </row>
    <row r="103">
      <c r="A103" t="n">
        <v>102</v>
      </c>
      <c r="B103" s="25" t="n"/>
    </row>
    <row r="104">
      <c r="A104" t="n">
        <v>103</v>
      </c>
      <c r="B104" s="25" t="n"/>
    </row>
    <row r="105">
      <c r="A105" t="n">
        <v>104</v>
      </c>
      <c r="B105" s="25" t="n"/>
    </row>
    <row r="106">
      <c r="A106" t="n">
        <v>105</v>
      </c>
      <c r="B106" s="25" t="n"/>
    </row>
    <row r="107">
      <c r="A107" t="n">
        <v>106</v>
      </c>
      <c r="B107" s="25" t="n"/>
    </row>
    <row r="108">
      <c r="A108" t="n">
        <v>107</v>
      </c>
      <c r="B108" s="25" t="n"/>
    </row>
    <row r="109">
      <c r="A109" t="n">
        <v>108</v>
      </c>
      <c r="B109" s="25" t="n"/>
    </row>
    <row r="110">
      <c r="A110" t="n">
        <v>109</v>
      </c>
      <c r="B110" s="25" t="n"/>
    </row>
    <row r="111">
      <c r="A111" t="n">
        <v>110</v>
      </c>
      <c r="B111" s="25" t="n"/>
    </row>
    <row r="112">
      <c r="A112" t="n">
        <v>111</v>
      </c>
      <c r="B112" s="25" t="n"/>
    </row>
    <row r="113">
      <c r="A113" t="n">
        <v>112</v>
      </c>
      <c r="B113" s="25" t="n"/>
    </row>
    <row r="114">
      <c r="A114" t="n">
        <v>113</v>
      </c>
      <c r="B114" s="25" t="n"/>
    </row>
    <row r="115">
      <c r="A115" t="n">
        <v>114</v>
      </c>
      <c r="B115" s="25" t="n"/>
    </row>
    <row r="116">
      <c r="A116" t="n">
        <v>115</v>
      </c>
      <c r="B116" s="25" t="n"/>
    </row>
    <row r="117">
      <c r="A117" t="n">
        <v>116</v>
      </c>
      <c r="B117" s="25" t="n"/>
    </row>
    <row r="118">
      <c r="A118" t="n">
        <v>117</v>
      </c>
      <c r="B118" s="25" t="n"/>
    </row>
    <row r="119">
      <c r="A119" t="n">
        <v>118</v>
      </c>
      <c r="B119" s="25" t="n"/>
    </row>
    <row r="120">
      <c r="A120" t="n">
        <v>119</v>
      </c>
      <c r="B120" s="25" t="n"/>
    </row>
    <row r="121">
      <c r="A121" t="n">
        <v>120</v>
      </c>
      <c r="B121" s="25" t="n"/>
    </row>
    <row r="122">
      <c r="A122" t="n">
        <v>121</v>
      </c>
      <c r="B122" s="25" t="n"/>
    </row>
    <row r="123">
      <c r="A123" t="n">
        <v>122</v>
      </c>
      <c r="B123" s="25" t="n"/>
    </row>
    <row r="124">
      <c r="A124" t="n">
        <v>123</v>
      </c>
      <c r="B124" s="25" t="n"/>
    </row>
    <row r="125">
      <c r="A125" t="n">
        <v>124</v>
      </c>
      <c r="B125" s="25" t="n"/>
    </row>
    <row r="126">
      <c r="A126" t="n">
        <v>125</v>
      </c>
      <c r="B126" s="25" t="n"/>
    </row>
    <row r="127">
      <c r="A127" t="n">
        <v>126</v>
      </c>
      <c r="B127" s="25" t="n"/>
    </row>
    <row r="128">
      <c r="A128" t="n">
        <v>127</v>
      </c>
      <c r="B128" s="25" t="n"/>
    </row>
    <row r="129">
      <c r="A129" t="n">
        <v>128</v>
      </c>
      <c r="B129" s="25" t="n"/>
    </row>
    <row r="130">
      <c r="A130" t="n">
        <v>129</v>
      </c>
      <c r="B130" s="25" t="n"/>
    </row>
    <row r="131">
      <c r="A131" t="n">
        <v>130</v>
      </c>
      <c r="B131" s="25" t="n"/>
    </row>
    <row r="132">
      <c r="A132" t="n">
        <v>131</v>
      </c>
      <c r="B132" s="25" t="n"/>
    </row>
    <row r="133">
      <c r="A133" t="n">
        <v>132</v>
      </c>
      <c r="B133" s="25" t="n"/>
    </row>
    <row r="134">
      <c r="A134" t="n">
        <v>133</v>
      </c>
      <c r="B134" s="25" t="n"/>
    </row>
    <row r="135">
      <c r="A135" t="n">
        <v>134</v>
      </c>
      <c r="B135" s="25" t="n"/>
    </row>
    <row r="136">
      <c r="A136" t="n">
        <v>135</v>
      </c>
      <c r="B136" s="25" t="n"/>
    </row>
    <row r="137">
      <c r="A137" t="n">
        <v>136</v>
      </c>
      <c r="B137" s="25" t="n"/>
    </row>
    <row r="138">
      <c r="A138" t="n">
        <v>137</v>
      </c>
      <c r="B138" s="25" t="n"/>
    </row>
    <row r="139">
      <c r="A139" t="n">
        <v>138</v>
      </c>
      <c r="B139" s="25" t="n"/>
    </row>
    <row r="140">
      <c r="A140" t="n">
        <v>139</v>
      </c>
      <c r="B140" s="25" t="n"/>
    </row>
    <row r="141">
      <c r="A141" t="n">
        <v>140</v>
      </c>
      <c r="B141" s="25" t="n"/>
    </row>
    <row r="142">
      <c r="A142" t="n">
        <v>141</v>
      </c>
      <c r="B142" s="25" t="n"/>
    </row>
    <row r="143">
      <c r="A143" t="n">
        <v>142</v>
      </c>
      <c r="B143" s="25" t="n"/>
    </row>
    <row r="144">
      <c r="A144" t="n">
        <v>143</v>
      </c>
      <c r="B144" s="25" t="n"/>
    </row>
    <row r="145">
      <c r="A145" t="n">
        <v>144</v>
      </c>
      <c r="B145" s="25" t="n"/>
    </row>
    <row r="146">
      <c r="A146" t="n">
        <v>145</v>
      </c>
      <c r="B146" s="25" t="n"/>
    </row>
    <row r="147">
      <c r="A147" t="n">
        <v>146</v>
      </c>
      <c r="B147" s="25" t="n"/>
    </row>
    <row r="148">
      <c r="A148" t="n">
        <v>147</v>
      </c>
      <c r="B148" s="25" t="n"/>
    </row>
    <row r="149">
      <c r="A149" t="n">
        <v>148</v>
      </c>
      <c r="B149" s="25" t="n"/>
    </row>
    <row r="150">
      <c r="A150" t="n">
        <v>149</v>
      </c>
      <c r="B150" s="25" t="n"/>
    </row>
    <row r="151">
      <c r="A151" t="n">
        <v>150</v>
      </c>
      <c r="B151" s="25" t="n"/>
    </row>
    <row r="152">
      <c r="A152" t="n">
        <v>151</v>
      </c>
      <c r="B152" s="25" t="n"/>
    </row>
    <row r="153">
      <c r="A153" t="n">
        <v>152</v>
      </c>
      <c r="B153" s="25" t="n"/>
    </row>
    <row r="154">
      <c r="A154" t="n">
        <v>153</v>
      </c>
      <c r="B154" s="25" t="n"/>
    </row>
    <row r="155">
      <c r="A155" t="n">
        <v>154</v>
      </c>
      <c r="B155" s="25" t="n"/>
    </row>
    <row r="156">
      <c r="A156" t="n">
        <v>155</v>
      </c>
      <c r="B156" s="25" t="n"/>
    </row>
    <row r="157">
      <c r="A157" t="n">
        <v>156</v>
      </c>
      <c r="B157" s="25" t="n"/>
    </row>
    <row r="158">
      <c r="A158" t="n">
        <v>157</v>
      </c>
      <c r="B158" s="25" t="n"/>
    </row>
    <row r="159">
      <c r="A159" t="n">
        <v>158</v>
      </c>
      <c r="B159" s="25" t="n"/>
    </row>
    <row r="160">
      <c r="A160" t="n">
        <v>159</v>
      </c>
      <c r="B160" s="25" t="n"/>
    </row>
    <row r="161">
      <c r="A161" t="n">
        <v>160</v>
      </c>
      <c r="B161" s="25" t="n"/>
    </row>
    <row r="162">
      <c r="A162" t="n">
        <v>161</v>
      </c>
      <c r="B162" s="25" t="n"/>
    </row>
    <row r="163">
      <c r="A163" t="n">
        <v>162</v>
      </c>
      <c r="B163" s="25" t="n"/>
    </row>
    <row r="164">
      <c r="A164" t="n">
        <v>163</v>
      </c>
      <c r="B164" s="25" t="n"/>
    </row>
    <row r="165">
      <c r="A165" t="n">
        <v>164</v>
      </c>
      <c r="B165" s="25" t="n"/>
    </row>
    <row r="166">
      <c r="A166" t="n">
        <v>165</v>
      </c>
      <c r="B166" s="25" t="n"/>
    </row>
    <row r="167">
      <c r="A167" t="n">
        <v>166</v>
      </c>
      <c r="B167" s="25" t="n"/>
    </row>
    <row r="168">
      <c r="A168" t="n">
        <v>167</v>
      </c>
      <c r="B168" s="25" t="n"/>
    </row>
    <row r="169">
      <c r="A169" t="n">
        <v>168</v>
      </c>
      <c r="B169" s="25" t="n"/>
    </row>
    <row r="170">
      <c r="A170" t="n">
        <v>169</v>
      </c>
      <c r="B170" s="25" t="n"/>
    </row>
    <row r="171">
      <c r="A171" t="n">
        <v>170</v>
      </c>
      <c r="B171" s="25" t="n"/>
    </row>
    <row r="172">
      <c r="A172" t="n">
        <v>171</v>
      </c>
      <c r="B172" s="25" t="n"/>
    </row>
    <row r="173">
      <c r="A173" t="n">
        <v>172</v>
      </c>
      <c r="B173" s="25" t="n"/>
    </row>
    <row r="174">
      <c r="A174" t="n">
        <v>173</v>
      </c>
      <c r="B174" s="25" t="n"/>
    </row>
    <row r="175">
      <c r="A175" t="n">
        <v>174</v>
      </c>
      <c r="B175" s="25" t="n"/>
    </row>
    <row r="176">
      <c r="A176" t="n">
        <v>175</v>
      </c>
      <c r="B176" s="25" t="n"/>
    </row>
    <row r="177">
      <c r="A177" t="n">
        <v>176</v>
      </c>
      <c r="B177" s="25" t="n"/>
    </row>
    <row r="178">
      <c r="A178" t="n">
        <v>177</v>
      </c>
      <c r="B178" s="25" t="n"/>
    </row>
    <row r="179">
      <c r="A179" t="n">
        <v>178</v>
      </c>
      <c r="B179" s="25" t="n"/>
    </row>
    <row r="180">
      <c r="A180" t="n">
        <v>179</v>
      </c>
      <c r="B180" s="25" t="n"/>
    </row>
    <row r="181">
      <c r="A181" t="n">
        <v>180</v>
      </c>
      <c r="B181" s="25" t="n"/>
    </row>
    <row r="182">
      <c r="A182" t="n">
        <v>181</v>
      </c>
      <c r="B182" s="25" t="n"/>
    </row>
    <row r="183">
      <c r="A183" t="n">
        <v>182</v>
      </c>
      <c r="B183" s="25" t="n"/>
    </row>
    <row r="184">
      <c r="A184" t="n">
        <v>183</v>
      </c>
      <c r="B184" s="25" t="n"/>
    </row>
    <row r="185">
      <c r="A185" t="n">
        <v>184</v>
      </c>
      <c r="B185" s="25" t="n"/>
    </row>
    <row r="186">
      <c r="A186" t="n">
        <v>185</v>
      </c>
      <c r="B186" s="25" t="n"/>
    </row>
    <row r="187">
      <c r="A187" t="n">
        <v>186</v>
      </c>
      <c r="B187" s="25" t="n"/>
    </row>
    <row r="188">
      <c r="A188" t="n">
        <v>187</v>
      </c>
      <c r="B188" s="25" t="n"/>
    </row>
    <row r="189">
      <c r="A189" t="n">
        <v>188</v>
      </c>
      <c r="B189" s="25" t="n"/>
    </row>
    <row r="190">
      <c r="A190" t="n">
        <v>189</v>
      </c>
      <c r="B190" s="25" t="n"/>
    </row>
    <row r="191">
      <c r="A191" t="n">
        <v>190</v>
      </c>
      <c r="B191" s="25" t="n"/>
    </row>
    <row r="192">
      <c r="A192" t="n">
        <v>191</v>
      </c>
      <c r="B192" s="25" t="n"/>
    </row>
    <row r="193">
      <c r="A193" t="n">
        <v>192</v>
      </c>
      <c r="B193" s="25" t="n"/>
    </row>
    <row r="194">
      <c r="A194" t="n">
        <v>193</v>
      </c>
      <c r="B194" s="25" t="n"/>
    </row>
    <row r="195">
      <c r="A195" t="n">
        <v>194</v>
      </c>
      <c r="B195" s="25" t="n"/>
    </row>
    <row r="196">
      <c r="A196" t="n">
        <v>195</v>
      </c>
      <c r="B196" s="25" t="n"/>
    </row>
    <row r="197">
      <c r="A197" t="n">
        <v>196</v>
      </c>
      <c r="B197" s="25" t="n"/>
    </row>
    <row r="198">
      <c r="A198" t="n">
        <v>197</v>
      </c>
      <c r="B198" s="25" t="n"/>
    </row>
    <row r="199">
      <c r="A199" t="n">
        <v>198</v>
      </c>
      <c r="B199" s="25" t="n"/>
    </row>
    <row r="200">
      <c r="A200" t="n">
        <v>199</v>
      </c>
      <c r="B200" s="25" t="n"/>
    </row>
    <row r="201">
      <c r="A201" t="n">
        <v>200</v>
      </c>
      <c r="B201" s="25" t="n"/>
    </row>
    <row r="202">
      <c r="A202" t="n">
        <v>201</v>
      </c>
      <c r="B202" s="25" t="n"/>
    </row>
    <row r="203">
      <c r="A203" t="n">
        <v>202</v>
      </c>
      <c r="B203" s="25" t="n"/>
    </row>
    <row r="204">
      <c r="A204" t="n">
        <v>203</v>
      </c>
      <c r="B204" s="25" t="n"/>
    </row>
    <row r="205">
      <c r="A205" t="n">
        <v>204</v>
      </c>
      <c r="B205" s="25" t="n"/>
    </row>
    <row r="206">
      <c r="A206" t="n">
        <v>205</v>
      </c>
      <c r="B206" s="25" t="n"/>
    </row>
    <row r="207">
      <c r="A207" t="n">
        <v>206</v>
      </c>
      <c r="B207" s="25" t="n"/>
    </row>
    <row r="208">
      <c r="A208" t="n">
        <v>207</v>
      </c>
      <c r="B208" s="25" t="n"/>
    </row>
    <row r="209">
      <c r="A209" t="n">
        <v>208</v>
      </c>
      <c r="B209" s="25" t="n"/>
    </row>
    <row r="210">
      <c r="A210" t="n">
        <v>209</v>
      </c>
      <c r="B210" s="25" t="n"/>
    </row>
    <row r="211">
      <c r="A211" t="n">
        <v>210</v>
      </c>
      <c r="B211" s="25" t="n"/>
    </row>
    <row r="212">
      <c r="A212" t="n">
        <v>211</v>
      </c>
      <c r="B212" s="25" t="n"/>
    </row>
    <row r="213">
      <c r="A213" t="n">
        <v>212</v>
      </c>
      <c r="B213" s="25" t="n"/>
    </row>
    <row r="214">
      <c r="A214" t="n">
        <v>213</v>
      </c>
      <c r="B214" s="25" t="n"/>
    </row>
    <row r="215">
      <c r="A215" t="n">
        <v>214</v>
      </c>
      <c r="B215" s="25" t="n"/>
    </row>
    <row r="216">
      <c r="A216" t="n">
        <v>215</v>
      </c>
      <c r="B216" s="25" t="n"/>
    </row>
    <row r="217">
      <c r="A217" t="n">
        <v>216</v>
      </c>
      <c r="B217" s="25" t="n"/>
    </row>
    <row r="218">
      <c r="A218" t="n">
        <v>217</v>
      </c>
      <c r="B218" s="25" t="n"/>
    </row>
    <row r="219">
      <c r="A219" t="n">
        <v>218</v>
      </c>
      <c r="B219" s="25" t="n"/>
    </row>
    <row r="220">
      <c r="A220" t="n">
        <v>219</v>
      </c>
      <c r="B220" s="25" t="n"/>
    </row>
    <row r="221">
      <c r="A221" t="n">
        <v>220</v>
      </c>
      <c r="B221" s="25" t="n"/>
    </row>
    <row r="222">
      <c r="A222" t="n">
        <v>221</v>
      </c>
      <c r="B222" s="25" t="n"/>
    </row>
    <row r="223">
      <c r="A223" t="n">
        <v>222</v>
      </c>
      <c r="B223" s="25" t="n"/>
    </row>
    <row r="224">
      <c r="A224" t="n">
        <v>223</v>
      </c>
      <c r="B224" s="25" t="n"/>
    </row>
    <row r="225">
      <c r="A225" t="n">
        <v>224</v>
      </c>
      <c r="B225" s="25" t="n"/>
    </row>
    <row r="226">
      <c r="A226" t="n">
        <v>225</v>
      </c>
      <c r="B226" s="25" t="n"/>
    </row>
    <row r="227">
      <c r="A227" t="n">
        <v>226</v>
      </c>
      <c r="B227" s="25" t="n"/>
    </row>
    <row r="228">
      <c r="A228" t="n">
        <v>227</v>
      </c>
      <c r="B228" s="25" t="n"/>
    </row>
    <row r="229">
      <c r="A229" t="n">
        <v>228</v>
      </c>
      <c r="B229" s="25" t="n"/>
    </row>
    <row r="230">
      <c r="A230" t="n">
        <v>229</v>
      </c>
      <c r="B230" s="25" t="n"/>
    </row>
    <row r="231">
      <c r="A231" t="n">
        <v>230</v>
      </c>
      <c r="B231" s="25" t="n"/>
    </row>
    <row r="232">
      <c r="A232" t="n">
        <v>231</v>
      </c>
      <c r="B232" s="25" t="n"/>
    </row>
    <row r="233">
      <c r="A233" t="n">
        <v>232</v>
      </c>
      <c r="B233" s="25" t="n"/>
    </row>
    <row r="234">
      <c r="A234" t="n">
        <v>233</v>
      </c>
      <c r="B234" s="25" t="n"/>
    </row>
    <row r="235">
      <c r="A235" t="n">
        <v>234</v>
      </c>
      <c r="B235" s="25" t="n"/>
    </row>
    <row r="236">
      <c r="A236" t="n">
        <v>235</v>
      </c>
      <c r="B236" s="25" t="n"/>
    </row>
    <row r="237">
      <c r="A237" t="n">
        <v>236</v>
      </c>
      <c r="B237" s="25" t="n"/>
    </row>
    <row r="238">
      <c r="A238" t="n">
        <v>237</v>
      </c>
      <c r="B238" s="25" t="n"/>
    </row>
    <row r="239">
      <c r="A239" t="n">
        <v>238</v>
      </c>
      <c r="B239" s="25" t="n"/>
    </row>
    <row r="240">
      <c r="A240" t="n">
        <v>239</v>
      </c>
      <c r="B240" s="25" t="n"/>
    </row>
    <row r="241">
      <c r="A241" t="n">
        <v>240</v>
      </c>
      <c r="B241" s="25" t="n"/>
    </row>
    <row r="242">
      <c r="A242" t="n">
        <v>241</v>
      </c>
      <c r="B242" s="25" t="n"/>
    </row>
    <row r="243">
      <c r="A243" t="n">
        <v>242</v>
      </c>
      <c r="B243" s="25" t="n"/>
    </row>
    <row r="244">
      <c r="A244" t="n">
        <v>243</v>
      </c>
      <c r="B244" s="25" t="n"/>
    </row>
    <row r="245">
      <c r="A245" t="n">
        <v>244</v>
      </c>
      <c r="B245" s="25" t="n"/>
    </row>
    <row r="246">
      <c r="A246" t="n">
        <v>245</v>
      </c>
      <c r="B246" s="25" t="n"/>
    </row>
    <row r="247">
      <c r="A247" t="n">
        <v>246</v>
      </c>
      <c r="B247" s="25" t="n"/>
    </row>
    <row r="248">
      <c r="A248" t="n">
        <v>247</v>
      </c>
      <c r="B248" s="25" t="n"/>
    </row>
    <row r="249">
      <c r="A249" t="n">
        <v>248</v>
      </c>
      <c r="B249" s="25" t="n"/>
    </row>
    <row r="250">
      <c r="A250" t="n">
        <v>249</v>
      </c>
      <c r="B250" s="25" t="n"/>
    </row>
    <row r="251">
      <c r="A251" t="n">
        <v>250</v>
      </c>
      <c r="B251" s="25" t="n"/>
    </row>
    <row r="252">
      <c r="A252" t="n">
        <v>251</v>
      </c>
      <c r="B252" s="25" t="n"/>
    </row>
    <row r="253">
      <c r="A253" t="n">
        <v>252</v>
      </c>
      <c r="B253" s="25" t="n"/>
    </row>
    <row r="254">
      <c r="A254" t="n">
        <v>253</v>
      </c>
      <c r="B254" s="25" t="n"/>
    </row>
    <row r="255">
      <c r="A255" t="n">
        <v>254</v>
      </c>
      <c r="B255" s="25" t="n"/>
    </row>
    <row r="256">
      <c r="A256" t="n">
        <v>255</v>
      </c>
      <c r="B256" s="25" t="n"/>
    </row>
    <row r="257">
      <c r="A257" t="n">
        <v>256</v>
      </c>
      <c r="B257" s="25" t="n"/>
    </row>
    <row r="258">
      <c r="A258" t="n">
        <v>257</v>
      </c>
      <c r="B258" s="25" t="n"/>
    </row>
    <row r="259">
      <c r="A259" t="n">
        <v>258</v>
      </c>
      <c r="B259" s="25" t="n"/>
    </row>
    <row r="260">
      <c r="A260" t="n">
        <v>259</v>
      </c>
      <c r="B260" s="25" t="n"/>
    </row>
    <row r="261">
      <c r="A261" t="n">
        <v>260</v>
      </c>
      <c r="B261" s="25" t="n"/>
    </row>
    <row r="262">
      <c r="A262" t="n">
        <v>261</v>
      </c>
      <c r="B262" s="25" t="n"/>
    </row>
    <row r="263">
      <c r="A263" t="n">
        <v>262</v>
      </c>
      <c r="B263" s="25" t="n"/>
    </row>
    <row r="264">
      <c r="A264" t="n">
        <v>263</v>
      </c>
      <c r="B264" s="25" t="n"/>
    </row>
    <row r="265">
      <c r="A265" t="n">
        <v>264</v>
      </c>
      <c r="B265" s="25" t="n"/>
    </row>
    <row r="266">
      <c r="A266" t="n">
        <v>265</v>
      </c>
      <c r="B266" s="25" t="n"/>
    </row>
    <row r="267">
      <c r="A267" t="n">
        <v>266</v>
      </c>
      <c r="B267" s="25" t="n"/>
    </row>
    <row r="268">
      <c r="A268" t="n">
        <v>267</v>
      </c>
      <c r="B268" s="25" t="n"/>
    </row>
    <row r="269">
      <c r="A269" t="n">
        <v>268</v>
      </c>
      <c r="B269" s="25" t="n"/>
    </row>
    <row r="270">
      <c r="A270" t="n">
        <v>269</v>
      </c>
      <c r="B270" s="25" t="n"/>
    </row>
    <row r="271">
      <c r="A271" t="n">
        <v>270</v>
      </c>
      <c r="B271" s="25" t="n"/>
    </row>
    <row r="272">
      <c r="A272" t="n">
        <v>271</v>
      </c>
      <c r="B272" s="25" t="n"/>
    </row>
    <row r="273">
      <c r="A273" t="n">
        <v>272</v>
      </c>
      <c r="B273" s="25" t="n"/>
    </row>
    <row r="274">
      <c r="A274" t="n">
        <v>273</v>
      </c>
      <c r="B274" s="25" t="n"/>
    </row>
    <row r="275">
      <c r="A275" t="n">
        <v>274</v>
      </c>
      <c r="B275" s="25" t="n"/>
    </row>
    <row r="276">
      <c r="A276" t="n">
        <v>275</v>
      </c>
      <c r="B276" s="25" t="n"/>
    </row>
    <row r="277">
      <c r="A277" t="n">
        <v>276</v>
      </c>
      <c r="B277" s="25" t="n"/>
    </row>
    <row r="278">
      <c r="A278" t="n">
        <v>277</v>
      </c>
      <c r="B278" s="25" t="n"/>
    </row>
    <row r="279">
      <c r="A279" t="n">
        <v>278</v>
      </c>
      <c r="B279" s="25" t="n"/>
    </row>
    <row r="280">
      <c r="A280" t="n">
        <v>279</v>
      </c>
      <c r="B280" s="25" t="n"/>
    </row>
    <row r="281">
      <c r="A281" t="n">
        <v>280</v>
      </c>
      <c r="B281" s="25" t="n"/>
    </row>
    <row r="282">
      <c r="A282" t="n">
        <v>281</v>
      </c>
      <c r="B282" s="25" t="n"/>
    </row>
    <row r="283">
      <c r="A283" t="n">
        <v>282</v>
      </c>
      <c r="B283" s="25" t="n"/>
    </row>
    <row r="284">
      <c r="A284" t="n">
        <v>283</v>
      </c>
      <c r="B284" s="25" t="n"/>
    </row>
    <row r="285">
      <c r="A285" t="n">
        <v>284</v>
      </c>
      <c r="B285" s="25" t="n"/>
    </row>
    <row r="286">
      <c r="A286" t="n">
        <v>285</v>
      </c>
      <c r="B286" s="25" t="n"/>
    </row>
    <row r="287">
      <c r="A287" t="n">
        <v>286</v>
      </c>
      <c r="B287" s="25" t="n"/>
    </row>
    <row r="288">
      <c r="A288" t="n">
        <v>287</v>
      </c>
      <c r="B288" s="25" t="n"/>
    </row>
    <row r="289">
      <c r="A289" t="n">
        <v>288</v>
      </c>
      <c r="B289" s="25" t="n"/>
    </row>
    <row r="290">
      <c r="A290" t="n">
        <v>289</v>
      </c>
      <c r="B290" s="25" t="n"/>
    </row>
    <row r="291">
      <c r="A291" t="n">
        <v>290</v>
      </c>
      <c r="B291" s="25" t="n"/>
    </row>
    <row r="292">
      <c r="A292" t="n">
        <v>291</v>
      </c>
      <c r="B292" s="25" t="n"/>
    </row>
    <row r="293">
      <c r="A293" t="n">
        <v>292</v>
      </c>
      <c r="B293" s="25" t="n"/>
    </row>
    <row r="294">
      <c r="A294" t="n">
        <v>293</v>
      </c>
      <c r="B294" s="25" t="n"/>
    </row>
    <row r="295">
      <c r="A295" t="n">
        <v>294</v>
      </c>
      <c r="B295" s="25" t="n"/>
    </row>
    <row r="296">
      <c r="A296" t="n">
        <v>295</v>
      </c>
      <c r="B296" s="25" t="n"/>
    </row>
    <row r="297">
      <c r="A297" t="n">
        <v>296</v>
      </c>
      <c r="B297" s="25" t="n"/>
    </row>
    <row r="298">
      <c r="A298" t="n">
        <v>297</v>
      </c>
      <c r="B298" s="25" t="n"/>
    </row>
    <row r="299">
      <c r="A299" t="n">
        <v>298</v>
      </c>
      <c r="B299" s="25" t="n"/>
    </row>
    <row r="300">
      <c r="A300" t="n">
        <v>299</v>
      </c>
      <c r="B300" s="25" t="n"/>
    </row>
    <row r="301">
      <c r="A301" t="n">
        <v>300</v>
      </c>
      <c r="B301" s="2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2026-09-11T22:12:38Z</dcterms:created>
  <dcterms:modified xsi:type="dcterms:W3CDTF">2026-09-11T22:19:45Z</dcterms:modified>
</cp:coreProperties>
</file>